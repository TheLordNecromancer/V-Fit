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ING Software\V-fit\"/>
    </mc:Choice>
  </mc:AlternateContent>
  <xr:revisionPtr revIDLastSave="0" documentId="13_ncr:1_{9EC811C5-2F9C-46E6-A154-6F140676914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stimar CostosxHora" sheetId="1" r:id="rId1"/>
    <sheet name="Hoja2" sheetId="6" state="hidden" r:id="rId2"/>
    <sheet name="Presupuesto" sheetId="3" state="hidden" r:id="rId3"/>
    <sheet name="costo por recurso o punto de H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9" i="1" l="1"/>
  <c r="F38" i="1"/>
  <c r="F37" i="1"/>
  <c r="F36" i="1"/>
  <c r="F35" i="1"/>
  <c r="G35" i="1" s="1"/>
  <c r="F34" i="1"/>
  <c r="F33" i="1"/>
  <c r="F32" i="1"/>
  <c r="F31" i="1"/>
  <c r="F30" i="1"/>
  <c r="F29" i="1"/>
  <c r="G29" i="1" s="1"/>
  <c r="F28" i="1"/>
  <c r="F27" i="1"/>
  <c r="F26" i="1"/>
  <c r="F25" i="1"/>
  <c r="F24" i="1"/>
  <c r="F23" i="1"/>
  <c r="G23" i="1" s="1"/>
  <c r="F22" i="1"/>
  <c r="F21" i="1"/>
  <c r="F20" i="1"/>
  <c r="F19" i="1"/>
  <c r="F18" i="1"/>
  <c r="F17" i="1"/>
  <c r="F16" i="1"/>
  <c r="F15" i="1"/>
  <c r="G15" i="1" s="1"/>
  <c r="G40" i="1" s="1"/>
  <c r="M76" i="1" l="1"/>
  <c r="L76" i="1"/>
  <c r="M75" i="1"/>
  <c r="L75" i="1"/>
  <c r="M74" i="1"/>
  <c r="L74" i="1"/>
  <c r="N74" i="1" s="1"/>
  <c r="P74" i="1" s="1"/>
  <c r="R74" i="1" s="1"/>
  <c r="M73" i="1"/>
  <c r="L73" i="1"/>
  <c r="M72" i="1"/>
  <c r="L72" i="1"/>
  <c r="M71" i="1"/>
  <c r="L71" i="1"/>
  <c r="M70" i="1"/>
  <c r="L70" i="1"/>
  <c r="M69" i="1"/>
  <c r="L69" i="1"/>
  <c r="M68" i="1"/>
  <c r="L68" i="1"/>
  <c r="N68" i="1" s="1"/>
  <c r="P68" i="1" s="1"/>
  <c r="R68" i="1" s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L59" i="1"/>
  <c r="M59" i="1"/>
  <c r="L49" i="1"/>
  <c r="N76" i="1" l="1"/>
  <c r="P76" i="1" s="1"/>
  <c r="R76" i="1" s="1"/>
  <c r="N61" i="1"/>
  <c r="P61" i="1" s="1"/>
  <c r="R61" i="1" s="1"/>
  <c r="N65" i="1"/>
  <c r="P65" i="1" s="1"/>
  <c r="R65" i="1" s="1"/>
  <c r="N67" i="1"/>
  <c r="P67" i="1" s="1"/>
  <c r="R67" i="1" s="1"/>
  <c r="N69" i="1"/>
  <c r="P69" i="1" s="1"/>
  <c r="R69" i="1" s="1"/>
  <c r="N71" i="1"/>
  <c r="P71" i="1" s="1"/>
  <c r="R71" i="1" s="1"/>
  <c r="N73" i="1"/>
  <c r="P73" i="1" s="1"/>
  <c r="R73" i="1" s="1"/>
  <c r="N75" i="1"/>
  <c r="P75" i="1" s="1"/>
  <c r="R75" i="1" s="1"/>
  <c r="N72" i="1"/>
  <c r="P72" i="1" s="1"/>
  <c r="R72" i="1" s="1"/>
  <c r="N70" i="1"/>
  <c r="P70" i="1" s="1"/>
  <c r="R70" i="1" s="1"/>
  <c r="N60" i="1"/>
  <c r="P60" i="1" s="1"/>
  <c r="R60" i="1" s="1"/>
  <c r="N62" i="1"/>
  <c r="P62" i="1" s="1"/>
  <c r="R62" i="1" s="1"/>
  <c r="N64" i="1"/>
  <c r="P64" i="1" s="1"/>
  <c r="R64" i="1" s="1"/>
  <c r="N66" i="1"/>
  <c r="P66" i="1" s="1"/>
  <c r="R66" i="1" s="1"/>
  <c r="N63" i="1"/>
  <c r="P63" i="1" s="1"/>
  <c r="R63" i="1" s="1"/>
  <c r="N59" i="1"/>
  <c r="P59" i="1" s="1"/>
  <c r="R59" i="1" s="1"/>
  <c r="E16" i="3"/>
  <c r="F16" i="3" s="1"/>
  <c r="G16" i="3" s="1"/>
  <c r="S66" i="1" l="1"/>
  <c r="S72" i="1"/>
  <c r="S60" i="1"/>
  <c r="H16" i="3"/>
  <c r="B24" i="4"/>
  <c r="C22" i="4"/>
  <c r="C21" i="4"/>
  <c r="C20" i="4"/>
  <c r="C19" i="4"/>
  <c r="B17" i="4"/>
  <c r="C15" i="4"/>
  <c r="C14" i="4"/>
  <c r="C13" i="4"/>
  <c r="C12" i="4"/>
  <c r="C10" i="4"/>
  <c r="B48" i="3"/>
  <c r="B52" i="3" s="1"/>
  <c r="E40" i="3"/>
  <c r="E39" i="3"/>
  <c r="E38" i="3"/>
  <c r="E37" i="3"/>
  <c r="E36" i="3"/>
  <c r="E35" i="3"/>
  <c r="B28" i="3"/>
  <c r="E15" i="3"/>
  <c r="F15" i="3" s="1"/>
  <c r="H15" i="3" s="1"/>
  <c r="E14" i="3"/>
  <c r="F14" i="3" s="1"/>
  <c r="E13" i="3"/>
  <c r="F13" i="3" s="1"/>
  <c r="E12" i="3"/>
  <c r="F12" i="3" s="1"/>
  <c r="H12" i="3" s="1"/>
  <c r="E11" i="3"/>
  <c r="F11" i="3" s="1"/>
  <c r="E10" i="3"/>
  <c r="F10" i="3" s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N49" i="1" s="1"/>
  <c r="P49" i="1" s="1"/>
  <c r="R49" i="1" s="1"/>
  <c r="M48" i="1"/>
  <c r="L48" i="1"/>
  <c r="M47" i="1"/>
  <c r="L47" i="1"/>
  <c r="M46" i="1"/>
  <c r="L46" i="1"/>
  <c r="C17" i="4" l="1"/>
  <c r="C24" i="4"/>
  <c r="N46" i="1"/>
  <c r="C26" i="4"/>
  <c r="N51" i="1"/>
  <c r="N53" i="1"/>
  <c r="P53" i="1" s="1"/>
  <c r="R53" i="1" s="1"/>
  <c r="E41" i="3"/>
  <c r="B51" i="3" s="1"/>
  <c r="N54" i="1"/>
  <c r="P54" i="1" s="1"/>
  <c r="R54" i="1" s="1"/>
  <c r="N56" i="1"/>
  <c r="P56" i="1" s="1"/>
  <c r="R56" i="1" s="1"/>
  <c r="N48" i="1"/>
  <c r="P48" i="1" s="1"/>
  <c r="R48" i="1" s="1"/>
  <c r="N57" i="1"/>
  <c r="P57" i="1" s="1"/>
  <c r="R57" i="1" s="1"/>
  <c r="N52" i="1"/>
  <c r="P52" i="1" s="1"/>
  <c r="R52" i="1" s="1"/>
  <c r="N58" i="1"/>
  <c r="P58" i="1" s="1"/>
  <c r="R58" i="1" s="1"/>
  <c r="P46" i="1"/>
  <c r="R46" i="1" s="1"/>
  <c r="N47" i="1"/>
  <c r="P47" i="1" s="1"/>
  <c r="R47" i="1" s="1"/>
  <c r="N50" i="1"/>
  <c r="P50" i="1" s="1"/>
  <c r="R50" i="1" s="1"/>
  <c r="N55" i="1"/>
  <c r="P55" i="1" s="1"/>
  <c r="R55" i="1" s="1"/>
  <c r="C28" i="4"/>
  <c r="C27" i="4"/>
  <c r="H11" i="3"/>
  <c r="G11" i="3"/>
  <c r="H14" i="3"/>
  <c r="G14" i="3"/>
  <c r="H10" i="3"/>
  <c r="G10" i="3"/>
  <c r="H13" i="3"/>
  <c r="G13" i="3"/>
  <c r="G12" i="3"/>
  <c r="G15" i="3"/>
  <c r="P51" i="1" l="1"/>
  <c r="R51" i="1" s="1"/>
  <c r="S46" i="1" s="1"/>
  <c r="S52" i="1"/>
  <c r="H28" i="3"/>
  <c r="S77" i="1" l="1"/>
  <c r="B35" i="4"/>
  <c r="H29" i="3"/>
  <c r="B50" i="3" s="1"/>
  <c r="B36" i="4" l="1"/>
  <c r="B37" i="4" s="1"/>
  <c r="B54" i="3"/>
  <c r="B53" i="3"/>
  <c r="B55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tc={F7FC7476-AC2F-430C-ACE6-9FD4D203202F}</author>
  </authors>
  <commentList>
    <comment ref="C5" authorId="0" shapeId="0" xr:uid="{F7FC7476-AC2F-430C-ACE6-9FD4D203202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Developers Junior 
1 Scrum Master 
2 Product Owners  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tc={A5BC1472-B09C-486C-B68F-8BD9FE668BA8}</author>
  </authors>
  <commentList>
    <comment ref="B5" authorId="0" shapeId="0" xr:uid="{A5BC1472-B09C-486C-B68F-8BD9FE668BA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Developers Junior 
1 Scrum Master 
2 Product Owners  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6" authorId="0" shapeId="0" xr:uid="{00000000-0006-0000-0200-000001000000}">
      <text>
        <r>
          <rPr>
            <sz val="11"/>
            <color rgb="FF000000"/>
            <rFont val="Calibri"/>
            <family val="2"/>
          </rPr>
          <t>Cubrir horas extra de desarrollo en caso de bloqueos por no tener dominio total sobre las tecnologías de superposición 3D (Debilidad 1), o ante fallos críticos que superen el límite de 5 horas diarias de trabajo (Debilidad 2).</t>
        </r>
      </text>
    </comment>
    <comment ref="B50" authorId="0" shapeId="0" xr:uid="{00000000-0006-0000-0200-000002000000}">
      <text>
        <r>
          <rPr>
            <sz val="11"/>
            <color rgb="FF000000"/>
            <rFont val="Calibri"/>
            <family val="2"/>
          </rPr>
          <t xml:space="preserve">Se puede usar el valor obtenido de los paquetes de trabajo o módulos, en vez de la tabla de la nómina cuando se ha calculado el costo de la hora por recurso
</t>
        </r>
        <r>
          <rPr>
            <sz val="11"/>
            <color rgb="FF000000"/>
            <rFont val="Calibri"/>
            <family val="2"/>
          </rPr>
          <t>======</t>
        </r>
      </text>
    </comment>
    <comment ref="A53" authorId="0" shapeId="0" xr:uid="{00000000-0006-0000-0200-000003000000}">
      <text>
        <r>
          <rPr>
            <sz val="11"/>
            <color rgb="FF000000"/>
            <rFont val="Calibri"/>
            <family val="2"/>
          </rPr>
          <t xml:space="preserve">Puede estar entre el 5 y 10 % del costo total del proyecto.
</t>
        </r>
        <r>
          <rPr>
            <sz val="11"/>
            <color rgb="FF000000"/>
            <rFont val="Calibri"/>
            <family val="2"/>
          </rPr>
          <t xml:space="preserve">Para lo que se llama imprevistos, riesgos no conocidos.
</t>
        </r>
        <r>
          <rPr>
            <sz val="11"/>
            <color rgb="FF000000"/>
            <rFont val="Calibri"/>
            <family val="2"/>
          </rPr>
          <t xml:space="preserve">Por ejemplo:
</t>
        </r>
        <r>
          <rPr>
            <sz val="11"/>
            <color rgb="FF000000"/>
            <rFont val="Calibri"/>
            <family val="2"/>
          </rPr>
          <t xml:space="preserve">10% del valor del proyecto para enfrentar posibles problemas técnicos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>======</t>
        </r>
      </text>
    </comment>
  </commentList>
</comments>
</file>

<file path=xl/sharedStrings.xml><?xml version="1.0" encoding="utf-8"?>
<sst xmlns="http://schemas.openxmlformats.org/spreadsheetml/2006/main" count="319" uniqueCount="195">
  <si>
    <t xml:space="preserve">PLANTILLA DE AYUDA PARA COSTOS  </t>
  </si>
  <si>
    <t>PLANTILLA COSTOS</t>
  </si>
  <si>
    <t>Módulo / Épica</t>
  </si>
  <si>
    <t xml:space="preserve">Id. Act </t>
  </si>
  <si>
    <t>Actividad /Tarea</t>
  </si>
  <si>
    <t>Tipo de recurso (Personal, Materiales, Equipo)</t>
  </si>
  <si>
    <t xml:space="preserve">Recursos </t>
  </si>
  <si>
    <t>Disponibilidad  de Cada Recurso ( Capacidad Maxima por día) (%,horas)</t>
  </si>
  <si>
    <t>p</t>
  </si>
  <si>
    <t>m</t>
  </si>
  <si>
    <t>o</t>
  </si>
  <si>
    <t>Desviación (p-0)/6</t>
  </si>
  <si>
    <t>Duración de  actividad(esfuerzo en horas)</t>
  </si>
  <si>
    <t>Capacidad Máxima (% Horas¨dia)</t>
  </si>
  <si>
    <t>Disponibilidad Recurso Horas al dia</t>
  </si>
  <si>
    <t>Costo recurso por hora</t>
  </si>
  <si>
    <t>Costo por actividad</t>
  </si>
  <si>
    <t>costo por W.P</t>
  </si>
  <si>
    <t>PLANTILLA DE AYUDA PARA ESTIMACIÓN</t>
  </si>
  <si>
    <t>HU</t>
  </si>
  <si>
    <t>Punto de historia</t>
  </si>
  <si>
    <t>Costo punto de historia</t>
  </si>
  <si>
    <t>costo por Módulo/Épica</t>
  </si>
  <si>
    <t>INDEMNIZACIONES</t>
  </si>
  <si>
    <t>DURACIÓN DEL PROYECTO MESES</t>
  </si>
  <si>
    <t>RESERVA GERENCIAL</t>
  </si>
  <si>
    <t>HORAS A TRABAJAR POR MES</t>
  </si>
  <si>
    <t>Alternativa Esquema Actual</t>
  </si>
  <si>
    <t>NOMINA</t>
  </si>
  <si>
    <t>CARGO</t>
  </si>
  <si>
    <t>CANTIDAD</t>
  </si>
  <si>
    <t>SALARIO</t>
  </si>
  <si>
    <t>INCENTIVOS</t>
  </si>
  <si>
    <t>PRESTACIONES</t>
  </si>
  <si>
    <t>COSTO + INDEM</t>
  </si>
  <si>
    <t>COSTO HORA</t>
  </si>
  <si>
    <t>COSTO MENSUAL</t>
  </si>
  <si>
    <t>Desarrollador junior</t>
  </si>
  <si>
    <t>Arquitecto</t>
  </si>
  <si>
    <t>Gerente de proyectos</t>
  </si>
  <si>
    <t>DevOps</t>
  </si>
  <si>
    <t>UX Designer</t>
  </si>
  <si>
    <t>QA</t>
  </si>
  <si>
    <t xml:space="preserve"> </t>
  </si>
  <si>
    <t>Cantidad de personal</t>
  </si>
  <si>
    <t>ESTIMADO MENSUAL</t>
  </si>
  <si>
    <t xml:space="preserve"> TOTAL ESTIMADO PROYECTO</t>
  </si>
  <si>
    <t>OTROS COSTOS</t>
  </si>
  <si>
    <t>ITEM</t>
  </si>
  <si>
    <t>TIPO(Directo/Indirecto)</t>
  </si>
  <si>
    <t>COSTO  UNITARIO</t>
  </si>
  <si>
    <t>COSTO TOTAL</t>
  </si>
  <si>
    <t>Directo</t>
  </si>
  <si>
    <t xml:space="preserve">TOTAL OTROS COSTOS </t>
  </si>
  <si>
    <t>TIPO DE RESERVA CONTINGENCIA</t>
  </si>
  <si>
    <t>VALOR</t>
  </si>
  <si>
    <t>TOTAL DE LA RESERVA  CONTINGENCIA</t>
  </si>
  <si>
    <t>ESTIMADO RECURSO HUMANO</t>
  </si>
  <si>
    <t xml:space="preserve">COSTO DE LA RESERVA DE CONTINGENCIA </t>
  </si>
  <si>
    <t xml:space="preserve">COSTO DE RESERVA GERENCIAL (       5   %) </t>
  </si>
  <si>
    <t>UTILIDAD (%10)</t>
  </si>
  <si>
    <t xml:space="preserve">COSTO DEL PRESUPUESTO DEL PROYECTO </t>
  </si>
  <si>
    <t>Datos a tener en cuenta</t>
  </si>
  <si>
    <t>Salario mínimo 2024</t>
  </si>
  <si>
    <t>Subsidio de transporte</t>
  </si>
  <si>
    <t>Hasta dos salarios mínimos</t>
  </si>
  <si>
    <t>Inversión mensual por trabajador</t>
  </si>
  <si>
    <t>Concepto</t>
  </si>
  <si>
    <t>%</t>
  </si>
  <si>
    <t>Monto</t>
  </si>
  <si>
    <t>Horas trabajadas mensuales</t>
  </si>
  <si>
    <t>Salario base</t>
  </si>
  <si>
    <t>Salario Mensual</t>
  </si>
  <si>
    <t>Prima Legal</t>
  </si>
  <si>
    <t>Cesantias</t>
  </si>
  <si>
    <t>Intereses a las cesantias</t>
  </si>
  <si>
    <t>Vacaciones</t>
  </si>
  <si>
    <t>Total prestaciones</t>
  </si>
  <si>
    <t>Aportes a salud</t>
  </si>
  <si>
    <t>Aportes a pensión</t>
  </si>
  <si>
    <t>Parafiscales</t>
  </si>
  <si>
    <t>ARL Riesgo Administrativo</t>
  </si>
  <si>
    <t>Total Aportes</t>
  </si>
  <si>
    <t>Total Mensual</t>
  </si>
  <si>
    <t>Total Anual</t>
  </si>
  <si>
    <t>Total Hora</t>
  </si>
  <si>
    <t>Total puntos de historia proyecto</t>
  </si>
  <si>
    <t>Puntos de historia por mes</t>
  </si>
  <si>
    <t>Costo del equipo por mes</t>
  </si>
  <si>
    <t>Valor del punto de historia por mes</t>
  </si>
  <si>
    <t>Valor del esfuerzo</t>
  </si>
  <si>
    <t>Product Owner</t>
  </si>
  <si>
    <t>Personal</t>
  </si>
  <si>
    <t>Esfuerzo (pert) horas</t>
  </si>
  <si>
    <t>HU-01</t>
  </si>
  <si>
    <t>Aceptación de términos de privacidad de datos biométricos.</t>
  </si>
  <si>
    <t>HU-03</t>
  </si>
  <si>
    <t>HU-04</t>
  </si>
  <si>
    <t>HU-05</t>
  </si>
  <si>
    <t>HU-06</t>
  </si>
  <si>
    <t>HU-07</t>
  </si>
  <si>
    <t>HU-08</t>
  </si>
  <si>
    <t>HU-09</t>
  </si>
  <si>
    <t>HU-10</t>
  </si>
  <si>
    <t>HU-11</t>
  </si>
  <si>
    <t>HU-12</t>
  </si>
  <si>
    <t>HU-13</t>
  </si>
  <si>
    <t>HU-14</t>
  </si>
  <si>
    <t>Ingeniería de Requisitos</t>
  </si>
  <si>
    <t>REQ-01</t>
  </si>
  <si>
    <t>REQ-02</t>
  </si>
  <si>
    <t>REQ-03</t>
  </si>
  <si>
    <t>REQ-04</t>
  </si>
  <si>
    <t>REQ-05</t>
  </si>
  <si>
    <t>REQ-06</t>
  </si>
  <si>
    <t>Realizar entrevistas a administradores de tiendas para identificar problemas de devoluciones.</t>
  </si>
  <si>
    <t>Distribuir y analizar cuestionarios del grupo focal de compradores frecuentes.</t>
  </si>
  <si>
    <t>Estructurar el contexto del proyecto (Negocio, Uso, Desarrollo, TI).</t>
  </si>
  <si>
    <t>Ejecutar pruebas de escritorio para comprobar omisiones en las historias.</t>
  </si>
  <si>
    <t>Redactar, analizar y especificar las Historias de Usuario.</t>
  </si>
  <si>
    <t>Facilitar reuniones de recorridos  técnicos con el Dev Team.</t>
  </si>
  <si>
    <t>Samuel Gómez (PO)</t>
  </si>
  <si>
    <t>Nicolás Villegas (PO)</t>
  </si>
  <si>
    <t>Samuel G. y Nicolás V. (POs)</t>
  </si>
  <si>
    <t>Sebastián Rodríguez (SM)</t>
  </si>
  <si>
    <t>Épica 1</t>
  </si>
  <si>
    <t>HU-02</t>
  </si>
  <si>
    <t xml:space="preserve">Botón para abrir interfaz "Probar en 3D" en el e-commerce. </t>
  </si>
  <si>
    <t>Uso de la cámara web para capturar fotos de frente y perfil.</t>
  </si>
  <si>
    <t>Tutorial visual para posicionamiento correcto de cámara</t>
  </si>
  <si>
    <t>Ingreso manual de medidas antropométricas por formulario.</t>
  </si>
  <si>
    <t>Alerta de mala calidad de luz/ángulo en la fotografía.</t>
  </si>
  <si>
    <t>Creación de cuenta rápida para no repetir toma de fotos.</t>
  </si>
  <si>
    <t>José Naspucil(Devs)</t>
  </si>
  <si>
    <t>Samuel Ocampo(Devs)</t>
  </si>
  <si>
    <t>Diego Izquierdo(Devs)</t>
  </si>
  <si>
    <t>Épica 2</t>
  </si>
  <si>
    <t>HU-15</t>
  </si>
  <si>
    <t>HU-16</t>
  </si>
  <si>
    <t>Épica 3</t>
  </si>
  <si>
    <t>Observar el avatar 3D vistiendo la prenda seleccionada.</t>
  </si>
  <si>
    <t xml:space="preserve"> Rotación 360 grados del avatar con el mouse o dedo.</t>
  </si>
  <si>
    <t>Alternar dinámicamente entre tallas disponibles (S, M, L)</t>
  </si>
  <si>
    <t>Sugerencia automática de talla ideal basada en medidas.</t>
  </si>
  <si>
    <t>Botón para cerrar plugin y añadir producto al carrito principal.</t>
  </si>
  <si>
    <t>Opción de eliminar avatar y datos biométricos del sistema</t>
  </si>
  <si>
    <t>HU-17</t>
  </si>
  <si>
    <t>HU-18</t>
  </si>
  <si>
    <t>HU-19</t>
  </si>
  <si>
    <t>HU-20</t>
  </si>
  <si>
    <t>Panel de control básico para la tienda asociada (B2B).</t>
  </si>
  <si>
    <t xml:space="preserve"> Cargar imágenes, videos y tabla de medidas de la prenda.</t>
  </si>
  <si>
    <t xml:space="preserve">Menú de selección de tipo de tela (algodón, seda, etc.). </t>
  </si>
  <si>
    <t xml:space="preserve"> Visualización en "avatar maniquí" de prueba interno B2B.</t>
  </si>
  <si>
    <t xml:space="preserve"> Crear fragmento de código (Snippet/API) para integración web</t>
  </si>
  <si>
    <t xml:space="preserve">Tablero de estadísticas de conversión para tiendas B2B. </t>
  </si>
  <si>
    <t>Épica 4</t>
  </si>
  <si>
    <t>HU-21</t>
  </si>
  <si>
    <t>HU-22</t>
  </si>
  <si>
    <t>HU-23</t>
  </si>
  <si>
    <t>HU-24</t>
  </si>
  <si>
    <t>HU-25</t>
  </si>
  <si>
    <t>Panel técnico de monitoreo de carga en el servidor.</t>
  </si>
  <si>
    <t>Registrar, habilitar o deshabilitar cuentas de tiendas B2B.</t>
  </si>
  <si>
    <t xml:space="preserve">Conexiones por protocolos seguros para evitar intercepción. </t>
  </si>
  <si>
    <t xml:space="preserve"> Script automático para borrar avatares inactivos por meses.</t>
  </si>
  <si>
    <t xml:space="preserve"> Script para respaldo (backup) diario automatizado.</t>
  </si>
  <si>
    <t xml:space="preserve">  </t>
  </si>
  <si>
    <t>1. Captura 3D</t>
  </si>
  <si>
    <t>2. Experiencia</t>
  </si>
  <si>
    <t>Aceptación de términos de privacidad biométricos.</t>
  </si>
  <si>
    <t>3. Integración</t>
  </si>
  <si>
    <r>
      <t xml:space="preserve"> </t>
    </r>
    <r>
      <rPr>
        <sz val="9"/>
        <color rgb="FF000000"/>
        <rFont val="Calibri"/>
        <family val="2"/>
      </rPr>
      <t>Cargar imágenes, videos y tabla de medidas de la prenda.</t>
    </r>
  </si>
  <si>
    <t>Visualización en "avatar maniquí" de prueba interno B2B.</t>
  </si>
  <si>
    <t>Crear fragmento de código (Snippet/API) para integración web</t>
  </si>
  <si>
    <t>4. GestiónNube</t>
  </si>
  <si>
    <t>Script automático para borrar avatares inactivos por meses.</t>
  </si>
  <si>
    <t>Alquiler Computadores Portátiles.</t>
  </si>
  <si>
    <t>Hosting y dominio web</t>
  </si>
  <si>
    <t>Licencias para herramientas de desarrollo y APIs</t>
  </si>
  <si>
    <t>Kit papelería para ceremonias Scrum (Post-its, marcadores)</t>
  </si>
  <si>
    <t>Indirecto</t>
  </si>
  <si>
    <t>Auxilio de transporte para visitas a tiendas B2B</t>
  </si>
  <si>
    <t>Servidor en la nube (AWS) para renderizado 3D y BD (6 meses)</t>
  </si>
  <si>
    <t xml:space="preserve">Aumento en el valor de servicio </t>
  </si>
  <si>
    <t>Valor</t>
  </si>
  <si>
    <t>Resumen Ejecutivo</t>
  </si>
  <si>
    <t>Duración del proyecto</t>
  </si>
  <si>
    <t>Horas mensuales</t>
  </si>
  <si>
    <t>Equipo</t>
  </si>
  <si>
    <t>Metodología</t>
  </si>
  <si>
    <t>Presupuesto total</t>
  </si>
  <si>
    <t>5.8 meses</t>
  </si>
  <si>
    <t>160 h</t>
  </si>
  <si>
    <t>Scrum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</si>
</sst>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164" formatCode="_ &quot;$&quot;\ * #,##0_ ;_ &quot;$&quot;\ * \-#,##0_ ;_ &quot;$&quot;\ * &quot;-&quot;??_ ;_ @_ "/>
    <numFmt numFmtId="165" formatCode="_ * #,##0_ ;_ * \-#,##0_ ;_ * &quot;-&quot;??_ ;_ @_ "/>
    <numFmt numFmtId="166" formatCode="_ * #,##0.0_ ;_ * \-#,##0.0_ ;_ * &quot;-&quot;??_ ;_ @_ "/>
    <numFmt numFmtId="167" formatCode="0.000%"/>
  </numFmts>
  <fonts count="3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sz val="11"/>
      <name val="Calibri"/>
      <family val="2"/>
    </font>
    <font>
      <b/>
      <sz val="14"/>
      <color theme="1"/>
      <name val="Calibri"/>
      <family val="2"/>
    </font>
    <font>
      <b/>
      <sz val="9"/>
      <color rgb="FFFFFFFF"/>
      <name val="Calibri"/>
      <family val="2"/>
    </font>
    <font>
      <b/>
      <sz val="6"/>
      <color rgb="FF000000"/>
      <name val="Calibri"/>
      <family val="2"/>
    </font>
    <font>
      <sz val="7"/>
      <color rgb="FF000000"/>
      <name val="Calibri"/>
      <family val="2"/>
    </font>
    <font>
      <sz val="8"/>
      <color rgb="FF000000"/>
      <name val="Calibri"/>
      <family val="2"/>
    </font>
    <font>
      <sz val="11"/>
      <color theme="1"/>
      <name val="Calibri"/>
      <family val="2"/>
    </font>
    <font>
      <b/>
      <sz val="10"/>
      <color rgb="FF000000"/>
      <name val="Calibri"/>
      <family val="2"/>
    </font>
    <font>
      <sz val="9"/>
      <color rgb="FF000000"/>
      <name val="Calibri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sz val="11"/>
      <color rgb="FF000000"/>
      <name val="Calibri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9"/>
      <color theme="1"/>
      <name val="Calibri"/>
      <family val="2"/>
    </font>
    <font>
      <b/>
      <sz val="10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scheme val="minor"/>
    </font>
    <font>
      <b/>
      <sz val="15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</fonts>
  <fills count="23">
    <fill>
      <patternFill patternType="none"/>
    </fill>
    <fill>
      <patternFill patternType="gray125"/>
    </fill>
    <fill>
      <patternFill patternType="solid">
        <fgColor rgb="FF92CDDC"/>
        <bgColor rgb="FF92CDDC"/>
      </patternFill>
    </fill>
    <fill>
      <patternFill patternType="solid">
        <fgColor rgb="FFD6E3BC"/>
        <bgColor rgb="FFD6E3BC"/>
      </patternFill>
    </fill>
    <fill>
      <patternFill patternType="solid">
        <fgColor rgb="FF31859B"/>
        <bgColor rgb="FF31859B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2060"/>
        <bgColor rgb="FF002060"/>
      </patternFill>
    </fill>
    <fill>
      <patternFill patternType="solid">
        <fgColor theme="0"/>
        <bgColor theme="0"/>
      </patternFill>
    </fill>
    <fill>
      <patternFill patternType="solid">
        <fgColor rgb="FF000080"/>
        <bgColor rgb="FF000080"/>
      </patternFill>
    </fill>
    <fill>
      <patternFill patternType="solid">
        <fgColor rgb="FF808080"/>
        <bgColor rgb="FF808080"/>
      </patternFill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rgb="FF7F7F7F"/>
        <bgColor rgb="FF7F7F7F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D5A6BD"/>
        <bgColor rgb="FFD5A6BD"/>
      </patternFill>
    </fill>
    <fill>
      <patternFill patternType="solid">
        <fgColor rgb="FFC6D9F0"/>
        <bgColor rgb="FFC6D9F0"/>
      </patternFill>
    </fill>
    <fill>
      <patternFill patternType="solid">
        <fgColor rgb="FF548DD4"/>
        <bgColor rgb="FF548DD4"/>
      </patternFill>
    </fill>
    <fill>
      <patternFill patternType="solid">
        <fgColor rgb="FFC2D69B"/>
        <bgColor rgb="FFC2D69B"/>
      </patternFill>
    </fill>
    <fill>
      <patternFill patternType="solid">
        <fgColor rgb="FFCFE2F3"/>
        <bgColor rgb="FFCFE2F3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</fills>
  <borders count="4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25" fillId="0" borderId="0" applyFont="0" applyFill="0" applyBorder="0" applyAlignment="0" applyProtection="0"/>
    <xf numFmtId="0" fontId="26" fillId="0" borderId="41" applyNumberFormat="0" applyFill="0" applyAlignment="0" applyProtection="0"/>
    <xf numFmtId="0" fontId="27" fillId="0" borderId="0" applyNumberFormat="0" applyFill="0" applyBorder="0" applyAlignment="0" applyProtection="0"/>
  </cellStyleXfs>
  <cellXfs count="158">
    <xf numFmtId="0" fontId="0" fillId="0" borderId="0" xfId="0"/>
    <xf numFmtId="49" fontId="5" fillId="4" borderId="6" xfId="0" applyNumberFormat="1" applyFont="1" applyFill="1" applyBorder="1" applyAlignment="1">
      <alignment horizontal="center" vertical="center" wrapText="1"/>
    </xf>
    <xf numFmtId="49" fontId="5" fillId="4" borderId="7" xfId="0" applyNumberFormat="1" applyFont="1" applyFill="1" applyBorder="1" applyAlignment="1">
      <alignment horizontal="center" vertical="center" wrapText="1"/>
    </xf>
    <xf numFmtId="49" fontId="5" fillId="4" borderId="8" xfId="0" applyNumberFormat="1" applyFont="1" applyFill="1" applyBorder="1" applyAlignment="1">
      <alignment horizontal="center" vertical="center" wrapText="1"/>
    </xf>
    <xf numFmtId="49" fontId="5" fillId="5" borderId="8" xfId="0" applyNumberFormat="1" applyFont="1" applyFill="1" applyBorder="1" applyAlignment="1">
      <alignment horizontal="center" vertical="center" wrapText="1"/>
    </xf>
    <xf numFmtId="49" fontId="5" fillId="6" borderId="8" xfId="0" applyNumberFormat="1" applyFont="1" applyFill="1" applyBorder="1" applyAlignment="1">
      <alignment horizontal="center" vertical="center" wrapText="1"/>
    </xf>
    <xf numFmtId="0" fontId="7" fillId="0" borderId="6" xfId="0" applyFont="1" applyBorder="1" applyAlignment="1">
      <alignment wrapText="1"/>
    </xf>
    <xf numFmtId="0" fontId="8" fillId="0" borderId="6" xfId="0" applyFont="1" applyBorder="1"/>
    <xf numFmtId="0" fontId="9" fillId="0" borderId="6" xfId="0" applyFont="1" applyBorder="1"/>
    <xf numFmtId="4" fontId="9" fillId="0" borderId="6" xfId="0" applyNumberFormat="1" applyFont="1" applyBorder="1"/>
    <xf numFmtId="2" fontId="9" fillId="0" borderId="6" xfId="0" applyNumberFormat="1" applyFont="1" applyBorder="1"/>
    <xf numFmtId="0" fontId="11" fillId="0" borderId="6" xfId="0" applyFont="1" applyBorder="1" applyAlignment="1">
      <alignment wrapText="1"/>
    </xf>
    <xf numFmtId="0" fontId="7" fillId="0" borderId="6" xfId="0" applyFont="1" applyBorder="1"/>
    <xf numFmtId="0" fontId="12" fillId="7" borderId="6" xfId="0" applyFont="1" applyFill="1" applyBorder="1"/>
    <xf numFmtId="9" fontId="13" fillId="8" borderId="6" xfId="0" applyNumberFormat="1" applyFont="1" applyFill="1" applyBorder="1"/>
    <xf numFmtId="164" fontId="13" fillId="8" borderId="12" xfId="0" applyNumberFormat="1" applyFont="1" applyFill="1" applyBorder="1"/>
    <xf numFmtId="0" fontId="9" fillId="8" borderId="12" xfId="0" applyFont="1" applyFill="1" applyBorder="1"/>
    <xf numFmtId="0" fontId="9" fillId="8" borderId="6" xfId="0" applyFont="1" applyFill="1" applyBorder="1"/>
    <xf numFmtId="0" fontId="14" fillId="10" borderId="19" xfId="0" applyFont="1" applyFill="1" applyBorder="1" applyAlignment="1">
      <alignment horizontal="center" vertical="center" wrapText="1"/>
    </xf>
    <xf numFmtId="0" fontId="14" fillId="10" borderId="20" xfId="0" applyFont="1" applyFill="1" applyBorder="1" applyAlignment="1">
      <alignment horizontal="center" vertical="center" wrapText="1"/>
    </xf>
    <xf numFmtId="0" fontId="14" fillId="10" borderId="21" xfId="0" applyFont="1" applyFill="1" applyBorder="1" applyAlignment="1">
      <alignment horizontal="center" vertical="center" wrapText="1"/>
    </xf>
    <xf numFmtId="0" fontId="14" fillId="10" borderId="22" xfId="0" applyFont="1" applyFill="1" applyBorder="1" applyAlignment="1">
      <alignment horizontal="center" vertical="center" wrapText="1"/>
    </xf>
    <xf numFmtId="0" fontId="13" fillId="8" borderId="23" xfId="0" applyFont="1" applyFill="1" applyBorder="1"/>
    <xf numFmtId="165" fontId="13" fillId="8" borderId="6" xfId="0" applyNumberFormat="1" applyFont="1" applyFill="1" applyBorder="1" applyAlignment="1">
      <alignment horizontal="center"/>
    </xf>
    <xf numFmtId="164" fontId="9" fillId="8" borderId="6" xfId="0" applyNumberFormat="1" applyFont="1" applyFill="1" applyBorder="1"/>
    <xf numFmtId="164" fontId="13" fillId="8" borderId="6" xfId="0" applyNumberFormat="1" applyFont="1" applyFill="1" applyBorder="1"/>
    <xf numFmtId="165" fontId="13" fillId="0" borderId="6" xfId="0" applyNumberFormat="1" applyFont="1" applyBorder="1"/>
    <xf numFmtId="165" fontId="13" fillId="0" borderId="1" xfId="0" applyNumberFormat="1" applyFont="1" applyBorder="1"/>
    <xf numFmtId="165" fontId="13" fillId="0" borderId="24" xfId="0" applyNumberFormat="1" applyFont="1" applyBorder="1"/>
    <xf numFmtId="165" fontId="13" fillId="8" borderId="6" xfId="0" applyNumberFormat="1" applyFont="1" applyFill="1" applyBorder="1" applyAlignment="1">
      <alignment horizontal="left"/>
    </xf>
    <xf numFmtId="0" fontId="15" fillId="0" borderId="23" xfId="0" applyFont="1" applyBorder="1" applyAlignment="1">
      <alignment wrapText="1"/>
    </xf>
    <xf numFmtId="165" fontId="13" fillId="11" borderId="6" xfId="0" applyNumberFormat="1" applyFont="1" applyFill="1" applyBorder="1" applyAlignment="1">
      <alignment horizontal="center"/>
    </xf>
    <xf numFmtId="165" fontId="13" fillId="8" borderId="6" xfId="0" applyNumberFormat="1" applyFont="1" applyFill="1" applyBorder="1"/>
    <xf numFmtId="165" fontId="13" fillId="0" borderId="6" xfId="0" applyNumberFormat="1" applyFont="1" applyBorder="1" applyAlignment="1">
      <alignment horizontal="center"/>
    </xf>
    <xf numFmtId="0" fontId="13" fillId="0" borderId="23" xfId="0" applyFont="1" applyBorder="1" applyAlignment="1">
      <alignment wrapText="1"/>
    </xf>
    <xf numFmtId="0" fontId="13" fillId="0" borderId="6" xfId="0" applyFont="1" applyBorder="1" applyAlignment="1">
      <alignment wrapText="1"/>
    </xf>
    <xf numFmtId="166" fontId="13" fillId="0" borderId="6" xfId="0" applyNumberFormat="1" applyFont="1" applyBorder="1" applyAlignment="1">
      <alignment horizontal="center"/>
    </xf>
    <xf numFmtId="0" fontId="13" fillId="0" borderId="6" xfId="0" applyFont="1" applyBorder="1"/>
    <xf numFmtId="0" fontId="13" fillId="0" borderId="6" xfId="0" applyFont="1" applyBorder="1" applyAlignment="1">
      <alignment horizontal="left"/>
    </xf>
    <xf numFmtId="0" fontId="16" fillId="0" borderId="6" xfId="0" applyFont="1" applyBorder="1" applyAlignment="1">
      <alignment horizontal="left"/>
    </xf>
    <xf numFmtId="0" fontId="16" fillId="0" borderId="6" xfId="0" applyFont="1" applyBorder="1" applyAlignment="1">
      <alignment horizontal="right"/>
    </xf>
    <xf numFmtId="165" fontId="16" fillId="0" borderId="6" xfId="0" applyNumberFormat="1" applyFont="1" applyBorder="1"/>
    <xf numFmtId="0" fontId="17" fillId="8" borderId="6" xfId="0" applyFont="1" applyFill="1" applyBorder="1"/>
    <xf numFmtId="0" fontId="9" fillId="8" borderId="0" xfId="0" applyFont="1" applyFill="1"/>
    <xf numFmtId="0" fontId="14" fillId="10" borderId="23" xfId="0" applyFont="1" applyFill="1" applyBorder="1" applyAlignment="1">
      <alignment horizontal="center" vertical="center" wrapText="1"/>
    </xf>
    <xf numFmtId="0" fontId="14" fillId="10" borderId="6" xfId="0" applyFont="1" applyFill="1" applyBorder="1" applyAlignment="1">
      <alignment horizontal="center" vertical="center" wrapText="1"/>
    </xf>
    <xf numFmtId="0" fontId="14" fillId="10" borderId="6" xfId="0" applyFont="1" applyFill="1" applyBorder="1" applyAlignment="1">
      <alignment horizontal="center" vertical="center"/>
    </xf>
    <xf numFmtId="3" fontId="13" fillId="0" borderId="6" xfId="0" applyNumberFormat="1" applyFont="1" applyBorder="1"/>
    <xf numFmtId="3" fontId="13" fillId="0" borderId="6" xfId="0" applyNumberFormat="1" applyFont="1" applyBorder="1" applyAlignment="1">
      <alignment vertical="center"/>
    </xf>
    <xf numFmtId="0" fontId="13" fillId="0" borderId="23" xfId="0" applyFont="1" applyBorder="1" applyAlignment="1">
      <alignment horizontal="left" wrapText="1"/>
    </xf>
    <xf numFmtId="0" fontId="13" fillId="12" borderId="23" xfId="0" applyFont="1" applyFill="1" applyBorder="1" applyAlignment="1">
      <alignment horizontal="left" wrapText="1"/>
    </xf>
    <xf numFmtId="3" fontId="13" fillId="12" borderId="6" xfId="0" applyNumberFormat="1" applyFont="1" applyFill="1" applyBorder="1"/>
    <xf numFmtId="3" fontId="16" fillId="12" borderId="6" xfId="0" applyNumberFormat="1" applyFont="1" applyFill="1" applyBorder="1" applyAlignment="1">
      <alignment horizontal="right"/>
    </xf>
    <xf numFmtId="3" fontId="9" fillId="12" borderId="6" xfId="0" applyNumberFormat="1" applyFont="1" applyFill="1" applyBorder="1"/>
    <xf numFmtId="0" fontId="18" fillId="13" borderId="6" xfId="0" applyFont="1" applyFill="1" applyBorder="1" applyAlignment="1">
      <alignment horizontal="center"/>
    </xf>
    <xf numFmtId="0" fontId="18" fillId="13" borderId="6" xfId="0" applyFont="1" applyFill="1" applyBorder="1"/>
    <xf numFmtId="0" fontId="19" fillId="14" borderId="6" xfId="0" applyFont="1" applyFill="1" applyBorder="1"/>
    <xf numFmtId="165" fontId="19" fillId="14" borderId="6" xfId="0" applyNumberFormat="1" applyFont="1" applyFill="1" applyBorder="1"/>
    <xf numFmtId="3" fontId="19" fillId="14" borderId="6" xfId="0" applyNumberFormat="1" applyFont="1" applyFill="1" applyBorder="1"/>
    <xf numFmtId="0" fontId="19" fillId="15" borderId="6" xfId="0" applyFont="1" applyFill="1" applyBorder="1"/>
    <xf numFmtId="0" fontId="19" fillId="5" borderId="6" xfId="0" applyFont="1" applyFill="1" applyBorder="1"/>
    <xf numFmtId="165" fontId="19" fillId="5" borderId="6" xfId="0" applyNumberFormat="1" applyFont="1" applyFill="1" applyBorder="1"/>
    <xf numFmtId="0" fontId="20" fillId="16" borderId="6" xfId="0" applyFont="1" applyFill="1" applyBorder="1"/>
    <xf numFmtId="165" fontId="20" fillId="16" borderId="6" xfId="0" applyNumberFormat="1" applyFont="1" applyFill="1" applyBorder="1"/>
    <xf numFmtId="0" fontId="20" fillId="17" borderId="6" xfId="0" applyFont="1" applyFill="1" applyBorder="1"/>
    <xf numFmtId="165" fontId="20" fillId="17" borderId="6" xfId="0" applyNumberFormat="1" applyFont="1" applyFill="1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17" fillId="18" borderId="12" xfId="0" applyFont="1" applyFill="1" applyBorder="1" applyAlignment="1">
      <alignment horizontal="center"/>
    </xf>
    <xf numFmtId="0" fontId="17" fillId="0" borderId="6" xfId="0" applyFont="1" applyBorder="1"/>
    <xf numFmtId="167" fontId="9" fillId="0" borderId="6" xfId="0" applyNumberFormat="1" applyFont="1" applyBorder="1"/>
    <xf numFmtId="10" fontId="9" fillId="0" borderId="6" xfId="0" applyNumberFormat="1" applyFont="1" applyBorder="1"/>
    <xf numFmtId="4" fontId="9" fillId="19" borderId="6" xfId="0" applyNumberFormat="1" applyFont="1" applyFill="1" applyBorder="1"/>
    <xf numFmtId="0" fontId="17" fillId="0" borderId="0" xfId="0" applyFont="1"/>
    <xf numFmtId="4" fontId="9" fillId="0" borderId="0" xfId="0" applyNumberFormat="1" applyFont="1"/>
    <xf numFmtId="0" fontId="17" fillId="20" borderId="6" xfId="0" applyFont="1" applyFill="1" applyBorder="1"/>
    <xf numFmtId="0" fontId="21" fillId="20" borderId="6" xfId="0" applyFont="1" applyFill="1" applyBorder="1"/>
    <xf numFmtId="4" fontId="22" fillId="0" borderId="6" xfId="0" applyNumberFormat="1" applyFont="1" applyBorder="1"/>
    <xf numFmtId="2" fontId="9" fillId="0" borderId="1" xfId="0" applyNumberFormat="1" applyFont="1" applyBorder="1"/>
    <xf numFmtId="0" fontId="7" fillId="0" borderId="3" xfId="0" applyFont="1" applyBorder="1" applyAlignment="1">
      <alignment wrapText="1"/>
    </xf>
    <xf numFmtId="0" fontId="7" fillId="0" borderId="20" xfId="0" applyFont="1" applyBorder="1" applyAlignment="1">
      <alignment wrapText="1"/>
    </xf>
    <xf numFmtId="0" fontId="8" fillId="0" borderId="20" xfId="0" applyFont="1" applyBorder="1"/>
    <xf numFmtId="9" fontId="8" fillId="0" borderId="20" xfId="0" applyNumberFormat="1" applyFont="1" applyBorder="1"/>
    <xf numFmtId="0" fontId="9" fillId="0" borderId="20" xfId="0" applyFont="1" applyBorder="1"/>
    <xf numFmtId="4" fontId="9" fillId="0" borderId="20" xfId="0" applyNumberFormat="1" applyFont="1" applyBorder="1"/>
    <xf numFmtId="9" fontId="9" fillId="0" borderId="20" xfId="0" applyNumberFormat="1" applyFont="1" applyBorder="1"/>
    <xf numFmtId="2" fontId="9" fillId="0" borderId="20" xfId="0" applyNumberFormat="1" applyFont="1" applyBorder="1"/>
    <xf numFmtId="2" fontId="9" fillId="0" borderId="21" xfId="0" applyNumberFormat="1" applyFont="1" applyBorder="1"/>
    <xf numFmtId="49" fontId="5" fillId="4" borderId="30" xfId="0" applyNumberFormat="1" applyFont="1" applyFill="1" applyBorder="1" applyAlignment="1">
      <alignment horizontal="center" vertical="center" wrapText="1"/>
    </xf>
    <xf numFmtId="49" fontId="5" fillId="4" borderId="31" xfId="0" applyNumberFormat="1" applyFont="1" applyFill="1" applyBorder="1" applyAlignment="1">
      <alignment horizontal="center" vertical="center" wrapText="1"/>
    </xf>
    <xf numFmtId="49" fontId="5" fillId="5" borderId="30" xfId="0" applyNumberFormat="1" applyFont="1" applyFill="1" applyBorder="1" applyAlignment="1">
      <alignment horizontal="center" vertical="center" wrapText="1"/>
    </xf>
    <xf numFmtId="49" fontId="5" fillId="6" borderId="30" xfId="0" applyNumberFormat="1" applyFont="1" applyFill="1" applyBorder="1" applyAlignment="1">
      <alignment horizontal="center" vertical="center" wrapText="1"/>
    </xf>
    <xf numFmtId="2" fontId="0" fillId="0" borderId="27" xfId="0" applyNumberFormat="1" applyBorder="1"/>
    <xf numFmtId="0" fontId="3" fillId="0" borderId="11" xfId="0" applyFont="1" applyBorder="1" applyAlignment="1">
      <alignment horizontal="center" vertical="center"/>
    </xf>
    <xf numFmtId="0" fontId="1" fillId="0" borderId="0" xfId="0" applyFont="1"/>
    <xf numFmtId="3" fontId="1" fillId="0" borderId="0" xfId="0" applyNumberFormat="1" applyFont="1"/>
    <xf numFmtId="3" fontId="0" fillId="0" borderId="40" xfId="0" applyNumberFormat="1" applyBorder="1"/>
    <xf numFmtId="0" fontId="6" fillId="0" borderId="10" xfId="0" applyFont="1" applyBorder="1" applyAlignment="1">
      <alignment horizontal="center" vertical="center" wrapText="1"/>
    </xf>
    <xf numFmtId="0" fontId="3" fillId="0" borderId="9" xfId="0" applyFont="1" applyBorder="1"/>
    <xf numFmtId="0" fontId="8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6" fillId="0" borderId="9" xfId="0" applyFont="1" applyBorder="1" applyAlignment="1">
      <alignment horizontal="center" vertical="center" wrapText="1"/>
    </xf>
    <xf numFmtId="0" fontId="8" fillId="0" borderId="21" xfId="0" applyFont="1" applyBorder="1"/>
    <xf numFmtId="0" fontId="3" fillId="0" borderId="26" xfId="0" applyFont="1" applyBorder="1"/>
    <xf numFmtId="0" fontId="3" fillId="0" borderId="28" xfId="0" applyFont="1" applyBorder="1"/>
    <xf numFmtId="0" fontId="3" fillId="0" borderId="27" xfId="0" applyFont="1" applyBorder="1"/>
    <xf numFmtId="0" fontId="0" fillId="0" borderId="0" xfId="0"/>
    <xf numFmtId="0" fontId="24" fillId="0" borderId="39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8" xfId="0" applyFont="1" applyBorder="1" applyAlignment="1">
      <alignment horizontal="left" vertical="center"/>
    </xf>
    <xf numFmtId="2" fontId="3" fillId="0" borderId="9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 wrapText="1"/>
    </xf>
    <xf numFmtId="0" fontId="3" fillId="0" borderId="9" xfId="0" applyFont="1" applyBorder="1"/>
    <xf numFmtId="2" fontId="9" fillId="0" borderId="10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wrapText="1"/>
    </xf>
    <xf numFmtId="0" fontId="3" fillId="0" borderId="2" xfId="0" applyFont="1" applyBorder="1"/>
    <xf numFmtId="0" fontId="3" fillId="0" borderId="3" xfId="0" applyFont="1" applyBorder="1"/>
    <xf numFmtId="0" fontId="4" fillId="3" borderId="4" xfId="0" applyFont="1" applyFill="1" applyBorder="1" applyAlignment="1">
      <alignment horizontal="center"/>
    </xf>
    <xf numFmtId="0" fontId="3" fillId="0" borderId="5" xfId="0" applyFont="1" applyBorder="1"/>
    <xf numFmtId="0" fontId="24" fillId="0" borderId="9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0" borderId="38" xfId="0" applyFont="1" applyBorder="1"/>
    <xf numFmtId="2" fontId="9" fillId="0" borderId="35" xfId="0" applyNumberFormat="1" applyFont="1" applyBorder="1" applyAlignment="1">
      <alignment horizontal="center" vertical="center"/>
    </xf>
    <xf numFmtId="2" fontId="9" fillId="0" borderId="36" xfId="0" applyNumberFormat="1" applyFont="1" applyBorder="1" applyAlignment="1">
      <alignment horizontal="center" vertical="center"/>
    </xf>
    <xf numFmtId="2" fontId="9" fillId="0" borderId="29" xfId="0" applyNumberFormat="1" applyFont="1" applyBorder="1" applyAlignment="1">
      <alignment horizontal="center" vertical="center"/>
    </xf>
    <xf numFmtId="2" fontId="9" fillId="0" borderId="37" xfId="0" applyNumberFormat="1" applyFont="1" applyBorder="1" applyAlignment="1">
      <alignment horizontal="center" vertical="center"/>
    </xf>
    <xf numFmtId="0" fontId="2" fillId="2" borderId="32" xfId="0" applyFont="1" applyFill="1" applyBorder="1" applyAlignment="1">
      <alignment horizontal="center" wrapText="1"/>
    </xf>
    <xf numFmtId="0" fontId="3" fillId="0" borderId="33" xfId="0" applyFont="1" applyBorder="1"/>
    <xf numFmtId="0" fontId="3" fillId="0" borderId="34" xfId="0" applyFont="1" applyBorder="1"/>
    <xf numFmtId="0" fontId="4" fillId="3" borderId="32" xfId="0" applyFont="1" applyFill="1" applyBorder="1" applyAlignment="1">
      <alignment horizontal="center"/>
    </xf>
    <xf numFmtId="49" fontId="5" fillId="4" borderId="32" xfId="0" applyNumberFormat="1" applyFont="1" applyFill="1" applyBorder="1" applyAlignment="1">
      <alignment horizontal="center" vertical="center" wrapText="1"/>
    </xf>
    <xf numFmtId="0" fontId="3" fillId="0" borderId="26" xfId="0" applyFont="1" applyBorder="1"/>
    <xf numFmtId="0" fontId="14" fillId="9" borderId="13" xfId="0" applyFont="1" applyFill="1" applyBorder="1" applyAlignment="1">
      <alignment horizontal="center" vertical="center"/>
    </xf>
    <xf numFmtId="0" fontId="3" fillId="0" borderId="14" xfId="0" applyFont="1" applyBorder="1"/>
    <xf numFmtId="0" fontId="3" fillId="0" borderId="15" xfId="0" applyFont="1" applyBorder="1"/>
    <xf numFmtId="0" fontId="14" fillId="9" borderId="16" xfId="0" applyFont="1" applyFill="1" applyBorder="1" applyAlignment="1">
      <alignment horizontal="center" vertical="center"/>
    </xf>
    <xf numFmtId="0" fontId="3" fillId="0" borderId="17" xfId="0" applyFont="1" applyBorder="1"/>
    <xf numFmtId="0" fontId="3" fillId="0" borderId="18" xfId="0" applyFont="1" applyBorder="1"/>
    <xf numFmtId="0" fontId="14" fillId="9" borderId="25" xfId="0" applyFont="1" applyFill="1" applyBorder="1" applyAlignment="1">
      <alignment horizontal="center" vertical="center"/>
    </xf>
    <xf numFmtId="0" fontId="21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horizontal="left" vertical="center"/>
    </xf>
    <xf numFmtId="0" fontId="28" fillId="21" borderId="27" xfId="3" applyFont="1" applyFill="1" applyBorder="1" applyAlignment="1">
      <alignment horizontal="left" vertical="center" wrapText="1"/>
    </xf>
    <xf numFmtId="0" fontId="28" fillId="21" borderId="27" xfId="3" applyFont="1" applyFill="1" applyBorder="1" applyAlignment="1">
      <alignment horizontal="right"/>
    </xf>
    <xf numFmtId="0" fontId="26" fillId="22" borderId="42" xfId="2" applyFill="1" applyBorder="1" applyAlignment="1">
      <alignment horizontal="center" vertical="center"/>
    </xf>
    <xf numFmtId="0" fontId="26" fillId="22" borderId="43" xfId="2" applyFill="1" applyBorder="1" applyAlignment="1">
      <alignment horizontal="center" vertical="center"/>
    </xf>
    <xf numFmtId="0" fontId="29" fillId="0" borderId="27" xfId="0" applyFont="1" applyBorder="1"/>
    <xf numFmtId="0" fontId="29" fillId="0" borderId="27" xfId="0" applyFont="1" applyBorder="1" applyAlignment="1">
      <alignment horizontal="right"/>
    </xf>
    <xf numFmtId="44" fontId="29" fillId="0" borderId="27" xfId="1" applyFont="1" applyBorder="1" applyAlignment="1">
      <alignment horizontal="right"/>
    </xf>
    <xf numFmtId="49" fontId="5" fillId="4" borderId="33" xfId="0" applyNumberFormat="1" applyFont="1" applyFill="1" applyBorder="1" applyAlignment="1">
      <alignment horizontal="center" vertical="center" wrapText="1"/>
    </xf>
    <xf numFmtId="49" fontId="5" fillId="4" borderId="34" xfId="0" applyNumberFormat="1" applyFont="1" applyFill="1" applyBorder="1" applyAlignment="1">
      <alignment horizontal="center" vertical="center" wrapText="1"/>
    </xf>
    <xf numFmtId="0" fontId="6" fillId="0" borderId="37" xfId="0" applyFont="1" applyBorder="1" applyAlignment="1">
      <alignment horizontal="center" vertical="center" wrapText="1"/>
    </xf>
    <xf numFmtId="0" fontId="3" fillId="0" borderId="29" xfId="0" applyFont="1" applyBorder="1"/>
    <xf numFmtId="0" fontId="3" fillId="0" borderId="37" xfId="0" applyFont="1" applyBorder="1"/>
  </cellXfs>
  <cellStyles count="4">
    <cellStyle name="Encabezado 1" xfId="2" builtinId="16"/>
    <cellStyle name="Encabezado 4" xfId="3" builtinId="19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OSE GIOVANNY NASPUCIL TORRES" id="{FE6B705F-B36E-4B00-89A5-BE3D387A2880}" userId="S::jgnaspucilt@correo.usbcali.edu.co::92b4dad1-f39b-494f-9d7f-1c455463cf06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5" dT="2026-05-21T21:16:43.53" personId="{FE6B705F-B36E-4B00-89A5-BE3D387A2880}" id="{F7FC7476-AC2F-430C-ACE6-9FD4D203202F}">
    <text xml:space="preserve">3 Developers Junior 
1 Scrum Master 
2 Product Owners  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5" dT="2026-05-21T21:16:43.53" personId="{FE6B705F-B36E-4B00-89A5-BE3D387A2880}" id="{A5BC1472-B09C-486C-B68F-8BD9FE668BA8}">
    <text xml:space="preserve">3 Developers Junior 
1 Scrum Master 
2 Product Owners  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77"/>
  <sheetViews>
    <sheetView tabSelected="1" topLeftCell="A54" zoomScale="50" zoomScaleNormal="50" workbookViewId="0">
      <selection activeCell="E32" sqref="E32"/>
    </sheetView>
  </sheetViews>
  <sheetFormatPr baseColWidth="10" defaultColWidth="14.42578125" defaultRowHeight="15" customHeight="1" x14ac:dyDescent="0.25"/>
  <cols>
    <col min="1" max="1" width="15.42578125" customWidth="1"/>
    <col min="2" max="2" width="25.140625" customWidth="1"/>
    <col min="3" max="3" width="27" customWidth="1"/>
    <col min="4" max="4" width="10.7109375" bestFit="1" customWidth="1"/>
    <col min="5" max="6" width="10.7109375" customWidth="1"/>
    <col min="7" max="7" width="18.85546875" customWidth="1"/>
    <col min="8" max="8" width="14.5703125" customWidth="1"/>
    <col min="9" max="9" width="12.140625" customWidth="1"/>
    <col min="10" max="10" width="10.85546875" customWidth="1"/>
    <col min="11" max="11" width="29" customWidth="1"/>
    <col min="12" max="12" width="10.7109375" customWidth="1"/>
    <col min="13" max="13" width="8.85546875" bestFit="1" customWidth="1"/>
    <col min="14" max="14" width="12.85546875" bestFit="1" customWidth="1"/>
    <col min="15" max="15" width="11.5703125" bestFit="1" customWidth="1"/>
    <col min="16" max="16" width="12.42578125" customWidth="1"/>
    <col min="17" max="17" width="10.42578125" bestFit="1" customWidth="1"/>
    <col min="18" max="18" width="10.7109375" bestFit="1" customWidth="1"/>
    <col min="19" max="19" width="14.42578125" bestFit="1" customWidth="1"/>
    <col min="20" max="22" width="10.7109375" customWidth="1"/>
    <col min="28" max="28" width="28.42578125" customWidth="1"/>
    <col min="29" max="29" width="26.7109375" customWidth="1"/>
  </cols>
  <sheetData>
    <row r="1" spans="1:7" ht="28.5" customHeight="1" x14ac:dyDescent="0.25">
      <c r="A1" s="145"/>
      <c r="B1" s="148" t="s">
        <v>186</v>
      </c>
      <c r="C1" s="149"/>
    </row>
    <row r="2" spans="1:7" ht="27" customHeight="1" x14ac:dyDescent="0.25">
      <c r="B2" s="146" t="s">
        <v>67</v>
      </c>
      <c r="C2" s="147" t="s">
        <v>185</v>
      </c>
    </row>
    <row r="3" spans="1:7" x14ac:dyDescent="0.25">
      <c r="B3" s="150" t="s">
        <v>187</v>
      </c>
      <c r="C3" s="151" t="s">
        <v>192</v>
      </c>
    </row>
    <row r="4" spans="1:7" ht="15.75" customHeight="1" x14ac:dyDescent="0.25">
      <c r="B4" s="150" t="s">
        <v>188</v>
      </c>
      <c r="C4" s="151" t="s">
        <v>193</v>
      </c>
    </row>
    <row r="5" spans="1:7" x14ac:dyDescent="0.25">
      <c r="B5" s="150" t="s">
        <v>189</v>
      </c>
      <c r="C5" s="151">
        <v>6</v>
      </c>
    </row>
    <row r="6" spans="1:7" x14ac:dyDescent="0.25">
      <c r="B6" s="150" t="s">
        <v>190</v>
      </c>
      <c r="C6" s="151" t="s">
        <v>194</v>
      </c>
    </row>
    <row r="7" spans="1:7" x14ac:dyDescent="0.25">
      <c r="B7" s="150" t="s">
        <v>191</v>
      </c>
      <c r="C7" s="152">
        <v>310092451</v>
      </c>
    </row>
    <row r="8" spans="1:7" x14ac:dyDescent="0.25"/>
    <row r="9" spans="1:7" x14ac:dyDescent="0.25"/>
    <row r="10" spans="1:7" x14ac:dyDescent="0.25"/>
    <row r="11" spans="1:7" x14ac:dyDescent="0.25"/>
    <row r="12" spans="1:7" x14ac:dyDescent="0.25"/>
    <row r="13" spans="1:7" ht="18.75" x14ac:dyDescent="0.3">
      <c r="A13" s="118" t="s">
        <v>18</v>
      </c>
      <c r="B13" s="119"/>
      <c r="C13" s="119"/>
      <c r="D13" s="120"/>
      <c r="E13" s="121" t="s">
        <v>1</v>
      </c>
      <c r="F13" s="122"/>
      <c r="G13" s="122"/>
    </row>
    <row r="14" spans="1:7" ht="24" x14ac:dyDescent="0.25">
      <c r="A14" s="1" t="s">
        <v>2</v>
      </c>
      <c r="B14" s="2" t="s">
        <v>19</v>
      </c>
      <c r="C14" s="3" t="s">
        <v>4</v>
      </c>
      <c r="D14" s="3" t="s">
        <v>20</v>
      </c>
      <c r="E14" s="4" t="s">
        <v>21</v>
      </c>
      <c r="F14" s="4" t="s">
        <v>16</v>
      </c>
      <c r="G14" s="5" t="s">
        <v>22</v>
      </c>
    </row>
    <row r="15" spans="1:7" ht="24.75" x14ac:dyDescent="0.25">
      <c r="A15" s="123" t="s">
        <v>168</v>
      </c>
      <c r="B15" s="94" t="s">
        <v>94</v>
      </c>
      <c r="C15" s="11" t="s">
        <v>170</v>
      </c>
      <c r="D15" s="7">
        <v>3</v>
      </c>
      <c r="E15" s="10">
        <v>1180242</v>
      </c>
      <c r="F15" s="10">
        <f>E15*D15</f>
        <v>3540726</v>
      </c>
      <c r="G15" s="112">
        <f>SUM(F15:F22)</f>
        <v>34227018</v>
      </c>
    </row>
    <row r="16" spans="1:7" ht="24.75" x14ac:dyDescent="0.25">
      <c r="A16" s="124"/>
      <c r="B16" s="94" t="s">
        <v>126</v>
      </c>
      <c r="C16" s="11" t="s">
        <v>127</v>
      </c>
      <c r="D16" s="7">
        <v>2</v>
      </c>
      <c r="E16" s="10">
        <v>1180242</v>
      </c>
      <c r="F16" s="10">
        <f t="shared" ref="F16:F34" si="0">E16*D16</f>
        <v>2360484</v>
      </c>
      <c r="G16" s="113"/>
    </row>
    <row r="17" spans="1:7" ht="36.75" x14ac:dyDescent="0.25">
      <c r="A17" s="124"/>
      <c r="B17" s="94" t="s">
        <v>96</v>
      </c>
      <c r="C17" s="11" t="s">
        <v>129</v>
      </c>
      <c r="D17" s="7">
        <v>2</v>
      </c>
      <c r="E17" s="10">
        <v>1180242</v>
      </c>
      <c r="F17" s="10">
        <f t="shared" si="0"/>
        <v>2360484</v>
      </c>
      <c r="G17" s="113"/>
    </row>
    <row r="18" spans="1:7" ht="24.75" x14ac:dyDescent="0.25">
      <c r="A18" s="124"/>
      <c r="B18" s="94" t="s">
        <v>97</v>
      </c>
      <c r="C18" s="11" t="s">
        <v>128</v>
      </c>
      <c r="D18" s="12">
        <v>5</v>
      </c>
      <c r="E18" s="10">
        <v>1180242</v>
      </c>
      <c r="F18" s="10">
        <f t="shared" si="0"/>
        <v>5901210</v>
      </c>
      <c r="G18" s="113"/>
    </row>
    <row r="19" spans="1:7" ht="24.75" x14ac:dyDescent="0.25">
      <c r="A19" s="124"/>
      <c r="B19" s="94" t="s">
        <v>98</v>
      </c>
      <c r="C19" s="11" t="s">
        <v>130</v>
      </c>
      <c r="D19" s="7">
        <v>5</v>
      </c>
      <c r="E19" s="10">
        <v>1180242</v>
      </c>
      <c r="F19" s="10">
        <f t="shared" si="0"/>
        <v>5901210</v>
      </c>
      <c r="G19" s="113"/>
    </row>
    <row r="20" spans="1:7" ht="24.75" x14ac:dyDescent="0.25">
      <c r="A20" s="124"/>
      <c r="B20" s="94" t="s">
        <v>99</v>
      </c>
      <c r="C20" s="11" t="s">
        <v>130</v>
      </c>
      <c r="D20" s="7">
        <v>2</v>
      </c>
      <c r="E20" s="10">
        <v>1180242</v>
      </c>
      <c r="F20" s="10">
        <f t="shared" si="0"/>
        <v>2360484</v>
      </c>
      <c r="G20" s="113"/>
    </row>
    <row r="21" spans="1:7" ht="24.75" x14ac:dyDescent="0.25">
      <c r="A21" s="124"/>
      <c r="B21" s="94" t="s">
        <v>100</v>
      </c>
      <c r="C21" s="11" t="s">
        <v>131</v>
      </c>
      <c r="D21" s="7">
        <v>2</v>
      </c>
      <c r="E21" s="10">
        <v>1180242</v>
      </c>
      <c r="F21" s="10">
        <f t="shared" si="0"/>
        <v>2360484</v>
      </c>
      <c r="G21" s="113"/>
    </row>
    <row r="22" spans="1:7" ht="24.75" x14ac:dyDescent="0.25">
      <c r="A22" s="124"/>
      <c r="B22" s="94" t="s">
        <v>101</v>
      </c>
      <c r="C22" s="11" t="s">
        <v>132</v>
      </c>
      <c r="D22" s="7">
        <v>8</v>
      </c>
      <c r="E22" s="10">
        <v>1180242</v>
      </c>
      <c r="F22" s="10">
        <f t="shared" si="0"/>
        <v>9441936</v>
      </c>
      <c r="G22" s="113"/>
    </row>
    <row r="23" spans="1:7" ht="24.75" x14ac:dyDescent="0.25">
      <c r="A23" s="115" t="s">
        <v>169</v>
      </c>
      <c r="B23" s="94" t="s">
        <v>102</v>
      </c>
      <c r="C23" s="11" t="s">
        <v>140</v>
      </c>
      <c r="D23" s="7">
        <v>13</v>
      </c>
      <c r="E23" s="10">
        <v>1180242</v>
      </c>
      <c r="F23" s="10">
        <f t="shared" si="0"/>
        <v>15343146</v>
      </c>
      <c r="G23" s="117">
        <f>SUM(F23:F28)</f>
        <v>42488712</v>
      </c>
    </row>
    <row r="24" spans="1:7" ht="24.75" x14ac:dyDescent="0.25">
      <c r="A24" s="116"/>
      <c r="B24" s="94" t="s">
        <v>103</v>
      </c>
      <c r="C24" s="11" t="s">
        <v>141</v>
      </c>
      <c r="D24" s="7">
        <v>5</v>
      </c>
      <c r="E24" s="10">
        <v>1180242</v>
      </c>
      <c r="F24" s="10">
        <f t="shared" si="0"/>
        <v>5901210</v>
      </c>
      <c r="G24" s="113"/>
    </row>
    <row r="25" spans="1:7" ht="24.75" x14ac:dyDescent="0.25">
      <c r="A25" s="116"/>
      <c r="B25" s="94" t="s">
        <v>104</v>
      </c>
      <c r="C25" s="11" t="s">
        <v>142</v>
      </c>
      <c r="D25" s="7">
        <v>5</v>
      </c>
      <c r="E25" s="10">
        <v>1180242</v>
      </c>
      <c r="F25" s="10">
        <f t="shared" si="0"/>
        <v>5901210</v>
      </c>
      <c r="G25" s="113"/>
    </row>
    <row r="26" spans="1:7" ht="24.75" x14ac:dyDescent="0.25">
      <c r="A26" s="116"/>
      <c r="B26" s="94" t="s">
        <v>105</v>
      </c>
      <c r="C26" s="11" t="s">
        <v>143</v>
      </c>
      <c r="D26" s="7">
        <v>5</v>
      </c>
      <c r="E26" s="10">
        <v>1180242</v>
      </c>
      <c r="F26" s="10">
        <f t="shared" si="0"/>
        <v>5901210</v>
      </c>
      <c r="G26" s="113"/>
    </row>
    <row r="27" spans="1:7" ht="24.75" x14ac:dyDescent="0.25">
      <c r="A27" s="116"/>
      <c r="B27" s="94" t="s">
        <v>106</v>
      </c>
      <c r="C27" s="11" t="s">
        <v>144</v>
      </c>
      <c r="D27" s="7">
        <v>5</v>
      </c>
      <c r="E27" s="10">
        <v>1180242</v>
      </c>
      <c r="F27" s="10">
        <f t="shared" si="0"/>
        <v>5901210</v>
      </c>
      <c r="G27" s="113"/>
    </row>
    <row r="28" spans="1:7" ht="24.75" x14ac:dyDescent="0.25">
      <c r="A28" s="116"/>
      <c r="B28" s="94" t="s">
        <v>107</v>
      </c>
      <c r="C28" s="11" t="s">
        <v>145</v>
      </c>
      <c r="D28" s="7">
        <v>3</v>
      </c>
      <c r="E28" s="10">
        <v>1180242</v>
      </c>
      <c r="F28" s="10">
        <f t="shared" si="0"/>
        <v>3540726</v>
      </c>
      <c r="G28" s="113"/>
    </row>
    <row r="29" spans="1:7" ht="24.75" x14ac:dyDescent="0.25">
      <c r="A29" s="115" t="s">
        <v>171</v>
      </c>
      <c r="B29" s="94" t="s">
        <v>137</v>
      </c>
      <c r="C29" s="11" t="s">
        <v>150</v>
      </c>
      <c r="D29" s="7">
        <v>8</v>
      </c>
      <c r="E29" s="10">
        <v>1180242</v>
      </c>
      <c r="F29" s="10">
        <f t="shared" si="0"/>
        <v>9441936</v>
      </c>
      <c r="G29" s="117">
        <f>SUM(F29:F34)</f>
        <v>49570164</v>
      </c>
    </row>
    <row r="30" spans="1:7" ht="24.75" x14ac:dyDescent="0.25">
      <c r="A30" s="116"/>
      <c r="B30" s="94" t="s">
        <v>138</v>
      </c>
      <c r="C30" s="6" t="s">
        <v>172</v>
      </c>
      <c r="D30" s="7">
        <v>8</v>
      </c>
      <c r="E30" s="10">
        <v>1180242</v>
      </c>
      <c r="F30" s="10">
        <f t="shared" si="0"/>
        <v>9441936</v>
      </c>
      <c r="G30" s="113"/>
    </row>
    <row r="31" spans="1:7" ht="24.75" x14ac:dyDescent="0.25">
      <c r="A31" s="116"/>
      <c r="B31" s="94" t="s">
        <v>146</v>
      </c>
      <c r="C31" s="11" t="s">
        <v>152</v>
      </c>
      <c r="D31" s="7">
        <v>8</v>
      </c>
      <c r="E31" s="10">
        <v>1180242</v>
      </c>
      <c r="F31" s="10">
        <f t="shared" si="0"/>
        <v>9441936</v>
      </c>
      <c r="G31" s="113"/>
    </row>
    <row r="32" spans="1:7" ht="24.75" x14ac:dyDescent="0.25">
      <c r="A32" s="116"/>
      <c r="B32" s="94" t="s">
        <v>147</v>
      </c>
      <c r="C32" s="11" t="s">
        <v>173</v>
      </c>
      <c r="D32" s="7">
        <v>5</v>
      </c>
      <c r="E32" s="10">
        <v>1180242</v>
      </c>
      <c r="F32" s="10">
        <f t="shared" si="0"/>
        <v>5901210</v>
      </c>
      <c r="G32" s="113"/>
    </row>
    <row r="33" spans="1:19" ht="36.75" x14ac:dyDescent="0.25">
      <c r="A33" s="116"/>
      <c r="B33" s="94" t="s">
        <v>148</v>
      </c>
      <c r="C33" s="11" t="s">
        <v>174</v>
      </c>
      <c r="D33" s="7">
        <v>5</v>
      </c>
      <c r="E33" s="10">
        <v>1180242</v>
      </c>
      <c r="F33" s="10">
        <f t="shared" si="0"/>
        <v>5901210</v>
      </c>
      <c r="G33" s="113"/>
    </row>
    <row r="34" spans="1:19" ht="15.75" customHeight="1" x14ac:dyDescent="0.25">
      <c r="A34" s="125"/>
      <c r="B34" s="94" t="s">
        <v>149</v>
      </c>
      <c r="C34" s="11" t="s">
        <v>155</v>
      </c>
      <c r="D34" s="7">
        <v>8</v>
      </c>
      <c r="E34" s="10">
        <v>1180242</v>
      </c>
      <c r="F34" s="10">
        <f t="shared" si="0"/>
        <v>9441936</v>
      </c>
      <c r="G34" s="114"/>
    </row>
    <row r="35" spans="1:19" ht="15.75" customHeight="1" x14ac:dyDescent="0.25">
      <c r="A35" s="109" t="s">
        <v>175</v>
      </c>
      <c r="B35" s="94" t="s">
        <v>157</v>
      </c>
      <c r="C35" s="11" t="s">
        <v>162</v>
      </c>
      <c r="D35" s="7">
        <v>3</v>
      </c>
      <c r="E35" s="10">
        <v>1180242</v>
      </c>
      <c r="F35" s="10">
        <f>E35*D35</f>
        <v>3540726</v>
      </c>
      <c r="G35" s="112">
        <f>SUM(F35:F39)</f>
        <v>20064114</v>
      </c>
    </row>
    <row r="36" spans="1:19" ht="15.75" customHeight="1" x14ac:dyDescent="0.25">
      <c r="A36" s="110"/>
      <c r="B36" s="94" t="s">
        <v>158</v>
      </c>
      <c r="C36" s="11" t="s">
        <v>163</v>
      </c>
      <c r="D36" s="7">
        <v>5</v>
      </c>
      <c r="E36" s="10">
        <v>1180242</v>
      </c>
      <c r="F36" s="10">
        <f>E36*D36</f>
        <v>5901210</v>
      </c>
      <c r="G36" s="113"/>
    </row>
    <row r="37" spans="1:19" ht="15.75" customHeight="1" x14ac:dyDescent="0.25">
      <c r="A37" s="110"/>
      <c r="B37" s="94" t="s">
        <v>159</v>
      </c>
      <c r="C37" s="11" t="s">
        <v>164</v>
      </c>
      <c r="D37" s="7">
        <v>5</v>
      </c>
      <c r="E37" s="10">
        <v>1180242</v>
      </c>
      <c r="F37" s="10">
        <f>E37*D37</f>
        <v>5901210</v>
      </c>
      <c r="G37" s="113"/>
    </row>
    <row r="38" spans="1:19" ht="15.75" customHeight="1" x14ac:dyDescent="0.25">
      <c r="A38" s="110"/>
      <c r="B38" s="94" t="s">
        <v>160</v>
      </c>
      <c r="C38" s="11" t="s">
        <v>176</v>
      </c>
      <c r="D38" s="7">
        <v>1</v>
      </c>
      <c r="E38" s="10">
        <v>1180242</v>
      </c>
      <c r="F38" s="10">
        <f>E38*D38</f>
        <v>1180242</v>
      </c>
      <c r="G38" s="113"/>
      <c r="H38" s="108"/>
      <c r="I38" s="108"/>
      <c r="J38" s="108"/>
    </row>
    <row r="39" spans="1:19" ht="15.75" customHeight="1" x14ac:dyDescent="0.25">
      <c r="A39" s="111"/>
      <c r="B39" s="94" t="s">
        <v>161</v>
      </c>
      <c r="C39" s="11" t="s">
        <v>166</v>
      </c>
      <c r="D39" s="7">
        <v>3</v>
      </c>
      <c r="E39" s="10">
        <v>1180242</v>
      </c>
      <c r="F39" s="10">
        <f>E39*D39</f>
        <v>3540726</v>
      </c>
      <c r="G39" s="114"/>
      <c r="J39" s="108"/>
    </row>
    <row r="40" spans="1:19" ht="15.75" customHeight="1" x14ac:dyDescent="0.25">
      <c r="A40" s="108"/>
      <c r="B40" s="108"/>
      <c r="C40" s="108"/>
      <c r="D40" s="108"/>
      <c r="E40" s="108"/>
      <c r="F40" s="108"/>
      <c r="G40" s="93">
        <f>SUM(G15:G39)</f>
        <v>146350008</v>
      </c>
      <c r="J40" s="108"/>
    </row>
    <row r="41" spans="1:19" ht="15.75" customHeight="1" x14ac:dyDescent="0.25">
      <c r="J41" s="108"/>
    </row>
    <row r="42" spans="1:19" ht="15.75" customHeight="1" x14ac:dyDescent="0.25">
      <c r="J42" s="108"/>
    </row>
    <row r="43" spans="1:19" ht="15.75" customHeight="1" thickBot="1" x14ac:dyDescent="0.3"/>
    <row r="44" spans="1:19" ht="19.5" thickBot="1" x14ac:dyDescent="0.35">
      <c r="A44" s="130" t="s">
        <v>0</v>
      </c>
      <c r="B44" s="131"/>
      <c r="C44" s="131"/>
      <c r="D44" s="131"/>
      <c r="E44" s="131"/>
      <c r="F44" s="131"/>
      <c r="G44" s="131"/>
      <c r="H44" s="131"/>
      <c r="I44" s="131"/>
      <c r="J44" s="131"/>
      <c r="K44" s="131"/>
      <c r="L44" s="131"/>
      <c r="M44" s="131"/>
      <c r="N44" s="131"/>
      <c r="O44" s="131"/>
      <c r="P44" s="132"/>
      <c r="Q44" s="133" t="s">
        <v>1</v>
      </c>
      <c r="R44" s="131"/>
      <c r="S44" s="132"/>
    </row>
    <row r="45" spans="1:19" ht="96.75" thickBot="1" x14ac:dyDescent="0.3">
      <c r="A45" s="89" t="s">
        <v>2</v>
      </c>
      <c r="B45" s="90" t="s">
        <v>3</v>
      </c>
      <c r="C45" s="89" t="s">
        <v>4</v>
      </c>
      <c r="D45" s="89" t="s">
        <v>5</v>
      </c>
      <c r="E45" s="134" t="s">
        <v>6</v>
      </c>
      <c r="F45" s="153"/>
      <c r="G45" s="154"/>
      <c r="H45" s="89" t="s">
        <v>7</v>
      </c>
      <c r="I45" s="89" t="s">
        <v>8</v>
      </c>
      <c r="J45" s="89" t="s">
        <v>9</v>
      </c>
      <c r="K45" s="89" t="s">
        <v>10</v>
      </c>
      <c r="L45" s="89" t="s">
        <v>93</v>
      </c>
      <c r="M45" s="89" t="s">
        <v>11</v>
      </c>
      <c r="N45" s="89" t="s">
        <v>12</v>
      </c>
      <c r="O45" s="89" t="s">
        <v>13</v>
      </c>
      <c r="P45" s="89" t="s">
        <v>14</v>
      </c>
      <c r="Q45" s="91" t="s">
        <v>15</v>
      </c>
      <c r="R45" s="91" t="s">
        <v>16</v>
      </c>
      <c r="S45" s="92" t="s">
        <v>17</v>
      </c>
    </row>
    <row r="46" spans="1:19" ht="28.5" x14ac:dyDescent="0.25">
      <c r="A46" s="103" t="s">
        <v>108</v>
      </c>
      <c r="B46" s="81" t="s">
        <v>109</v>
      </c>
      <c r="C46" s="81" t="s">
        <v>115</v>
      </c>
      <c r="D46" s="82" t="s">
        <v>92</v>
      </c>
      <c r="E46" s="104" t="s">
        <v>121</v>
      </c>
      <c r="F46" s="105"/>
      <c r="G46" s="106"/>
      <c r="H46" s="83">
        <v>0.09</v>
      </c>
      <c r="I46" s="84">
        <v>10</v>
      </c>
      <c r="J46" s="84">
        <v>7</v>
      </c>
      <c r="K46" s="84">
        <v>4</v>
      </c>
      <c r="L46" s="84">
        <f t="shared" ref="L46:L59" si="1">(I46+4*J46+K46)/6</f>
        <v>7</v>
      </c>
      <c r="M46" s="85">
        <f t="shared" ref="M46:M59" si="2">(I46-K46)/6</f>
        <v>1</v>
      </c>
      <c r="N46" s="85">
        <f>(L46+M46)*8</f>
        <v>64</v>
      </c>
      <c r="O46" s="86">
        <v>0.09</v>
      </c>
      <c r="P46" s="85">
        <f>N46*O46</f>
        <v>5.76</v>
      </c>
      <c r="Q46" s="87">
        <v>44574</v>
      </c>
      <c r="R46" s="88">
        <f>Q46*P46</f>
        <v>256746.23999999999</v>
      </c>
      <c r="S46" s="126">
        <f>SUM(R46:R51)</f>
        <v>1621080</v>
      </c>
    </row>
    <row r="47" spans="1:19" ht="19.5" x14ac:dyDescent="0.25">
      <c r="A47" s="99"/>
      <c r="B47" s="6" t="s">
        <v>110</v>
      </c>
      <c r="C47" s="6" t="s">
        <v>116</v>
      </c>
      <c r="D47" s="7" t="s">
        <v>92</v>
      </c>
      <c r="E47" s="100" t="s">
        <v>122</v>
      </c>
      <c r="F47" s="101"/>
      <c r="G47" s="102"/>
      <c r="H47" s="83">
        <v>0.09</v>
      </c>
      <c r="I47" s="8">
        <v>3</v>
      </c>
      <c r="J47" s="8">
        <v>2</v>
      </c>
      <c r="K47" s="8">
        <v>1</v>
      </c>
      <c r="L47" s="8">
        <f t="shared" si="1"/>
        <v>2</v>
      </c>
      <c r="M47" s="9">
        <f t="shared" si="2"/>
        <v>0.33333333333333331</v>
      </c>
      <c r="N47" s="9">
        <f t="shared" ref="N47:N59" si="3">(L47+M47)*8</f>
        <v>18.666666666666668</v>
      </c>
      <c r="O47" s="86">
        <v>0.09</v>
      </c>
      <c r="P47" s="9">
        <f t="shared" ref="P47:P59" si="4">N47*O47</f>
        <v>1.68</v>
      </c>
      <c r="Q47" s="87">
        <v>44574</v>
      </c>
      <c r="R47" s="79">
        <f t="shared" ref="R47:R59" si="5">Q47*P47</f>
        <v>74884.319999999992</v>
      </c>
      <c r="S47" s="127"/>
    </row>
    <row r="48" spans="1:19" ht="19.5" x14ac:dyDescent="0.25">
      <c r="A48" s="99"/>
      <c r="B48" s="6" t="s">
        <v>111</v>
      </c>
      <c r="C48" s="6" t="s">
        <v>119</v>
      </c>
      <c r="D48" s="7" t="s">
        <v>92</v>
      </c>
      <c r="E48" s="100" t="s">
        <v>123</v>
      </c>
      <c r="F48" s="101"/>
      <c r="G48" s="102"/>
      <c r="H48" s="83">
        <v>0.09</v>
      </c>
      <c r="I48" s="8">
        <v>14</v>
      </c>
      <c r="J48" s="8">
        <v>10</v>
      </c>
      <c r="K48" s="8">
        <v>6</v>
      </c>
      <c r="L48" s="8">
        <f t="shared" si="1"/>
        <v>10</v>
      </c>
      <c r="M48" s="9">
        <f t="shared" si="2"/>
        <v>1.3333333333333333</v>
      </c>
      <c r="N48" s="9">
        <f t="shared" si="3"/>
        <v>90.666666666666671</v>
      </c>
      <c r="O48" s="86">
        <v>0.09</v>
      </c>
      <c r="P48" s="9">
        <f t="shared" si="4"/>
        <v>8.16</v>
      </c>
      <c r="Q48" s="87">
        <v>44574</v>
      </c>
      <c r="R48" s="79">
        <f t="shared" si="5"/>
        <v>363723.84</v>
      </c>
      <c r="S48" s="127"/>
    </row>
    <row r="49" spans="1:19" ht="19.5" x14ac:dyDescent="0.25">
      <c r="A49" s="99"/>
      <c r="B49" s="6" t="s">
        <v>112</v>
      </c>
      <c r="C49" s="6" t="s">
        <v>118</v>
      </c>
      <c r="D49" s="7" t="s">
        <v>92</v>
      </c>
      <c r="E49" s="100" t="s">
        <v>123</v>
      </c>
      <c r="F49" s="101"/>
      <c r="G49" s="102"/>
      <c r="H49" s="83">
        <v>0.09</v>
      </c>
      <c r="I49" s="8">
        <v>10</v>
      </c>
      <c r="J49" s="8">
        <v>7</v>
      </c>
      <c r="K49" s="8">
        <v>4</v>
      </c>
      <c r="L49" s="8">
        <f t="shared" si="1"/>
        <v>7</v>
      </c>
      <c r="M49" s="9">
        <f t="shared" si="2"/>
        <v>1</v>
      </c>
      <c r="N49" s="9">
        <f t="shared" si="3"/>
        <v>64</v>
      </c>
      <c r="O49" s="86">
        <v>0.09</v>
      </c>
      <c r="P49" s="9">
        <f t="shared" si="4"/>
        <v>5.76</v>
      </c>
      <c r="Q49" s="87">
        <v>44574</v>
      </c>
      <c r="R49" s="79">
        <f t="shared" si="5"/>
        <v>256746.23999999999</v>
      </c>
      <c r="S49" s="127"/>
    </row>
    <row r="50" spans="1:19" ht="19.5" x14ac:dyDescent="0.25">
      <c r="A50" s="99"/>
      <c r="B50" s="6" t="s">
        <v>113</v>
      </c>
      <c r="C50" s="6" t="s">
        <v>120</v>
      </c>
      <c r="D50" s="7" t="s">
        <v>92</v>
      </c>
      <c r="E50" s="100" t="s">
        <v>124</v>
      </c>
      <c r="F50" s="101"/>
      <c r="G50" s="102"/>
      <c r="H50" s="83">
        <v>0.09</v>
      </c>
      <c r="I50" s="8">
        <v>6</v>
      </c>
      <c r="J50" s="8">
        <v>4</v>
      </c>
      <c r="K50" s="8">
        <v>2</v>
      </c>
      <c r="L50" s="8">
        <f t="shared" si="1"/>
        <v>4</v>
      </c>
      <c r="M50" s="9">
        <f t="shared" si="2"/>
        <v>0.66666666666666663</v>
      </c>
      <c r="N50" s="9">
        <f t="shared" si="3"/>
        <v>37.333333333333336</v>
      </c>
      <c r="O50" s="86">
        <v>0.09</v>
      </c>
      <c r="P50" s="9">
        <f t="shared" si="4"/>
        <v>3.36</v>
      </c>
      <c r="Q50" s="87">
        <v>73353</v>
      </c>
      <c r="R50" s="79">
        <f t="shared" si="5"/>
        <v>246466.08</v>
      </c>
      <c r="S50" s="127"/>
    </row>
    <row r="51" spans="1:19" ht="19.5" x14ac:dyDescent="0.25">
      <c r="A51" s="99"/>
      <c r="B51" s="6" t="s">
        <v>114</v>
      </c>
      <c r="C51" s="6" t="s">
        <v>117</v>
      </c>
      <c r="D51" s="7" t="s">
        <v>92</v>
      </c>
      <c r="E51" s="100" t="s">
        <v>124</v>
      </c>
      <c r="F51" s="101"/>
      <c r="G51" s="102"/>
      <c r="H51" s="83">
        <v>0.09</v>
      </c>
      <c r="I51" s="8">
        <v>10</v>
      </c>
      <c r="J51" s="8">
        <v>7</v>
      </c>
      <c r="K51" s="8">
        <v>4</v>
      </c>
      <c r="L51" s="8">
        <f t="shared" si="1"/>
        <v>7</v>
      </c>
      <c r="M51" s="9">
        <f t="shared" si="2"/>
        <v>1</v>
      </c>
      <c r="N51" s="9">
        <f t="shared" si="3"/>
        <v>64</v>
      </c>
      <c r="O51" s="86">
        <v>0.09</v>
      </c>
      <c r="P51" s="9">
        <f t="shared" si="4"/>
        <v>5.76</v>
      </c>
      <c r="Q51" s="87">
        <v>73353</v>
      </c>
      <c r="R51" s="79">
        <f t="shared" si="5"/>
        <v>422513.27999999997</v>
      </c>
      <c r="S51" s="128"/>
    </row>
    <row r="52" spans="1:19" ht="19.5" x14ac:dyDescent="0.25">
      <c r="A52" s="98" t="s">
        <v>125</v>
      </c>
      <c r="B52" s="6" t="s">
        <v>94</v>
      </c>
      <c r="C52" s="6" t="s">
        <v>95</v>
      </c>
      <c r="D52" s="7" t="s">
        <v>92</v>
      </c>
      <c r="E52" s="100" t="s">
        <v>133</v>
      </c>
      <c r="F52" s="101"/>
      <c r="G52" s="102"/>
      <c r="H52" s="83">
        <v>0.09</v>
      </c>
      <c r="I52" s="8">
        <v>22</v>
      </c>
      <c r="J52" s="8">
        <v>18</v>
      </c>
      <c r="K52" s="8">
        <v>14</v>
      </c>
      <c r="L52" s="8">
        <f t="shared" si="1"/>
        <v>18</v>
      </c>
      <c r="M52" s="9">
        <f t="shared" si="2"/>
        <v>1.3333333333333333</v>
      </c>
      <c r="N52" s="9">
        <f t="shared" si="3"/>
        <v>154.66666666666666</v>
      </c>
      <c r="O52" s="86">
        <v>0.09</v>
      </c>
      <c r="P52" s="9">
        <f t="shared" si="4"/>
        <v>13.919999999999998</v>
      </c>
      <c r="Q52" s="87">
        <v>44186</v>
      </c>
      <c r="R52" s="79">
        <f t="shared" si="5"/>
        <v>615069.11999999988</v>
      </c>
      <c r="S52" s="129">
        <f>SUM(R52:R59)</f>
        <v>5938598.4000000004</v>
      </c>
    </row>
    <row r="53" spans="1:19" ht="19.5" x14ac:dyDescent="0.25">
      <c r="A53" s="99"/>
      <c r="B53" s="6" t="s">
        <v>126</v>
      </c>
      <c r="C53" s="6" t="s">
        <v>127</v>
      </c>
      <c r="D53" s="7" t="s">
        <v>92</v>
      </c>
      <c r="E53" s="100" t="s">
        <v>134</v>
      </c>
      <c r="F53" s="101"/>
      <c r="G53" s="102"/>
      <c r="H53" s="83">
        <v>0.09</v>
      </c>
      <c r="I53" s="8">
        <v>15</v>
      </c>
      <c r="J53" s="8">
        <v>12</v>
      </c>
      <c r="K53" s="8">
        <v>9</v>
      </c>
      <c r="L53" s="8">
        <f t="shared" si="1"/>
        <v>12</v>
      </c>
      <c r="M53" s="9">
        <f t="shared" si="2"/>
        <v>1</v>
      </c>
      <c r="N53" s="9">
        <f t="shared" si="3"/>
        <v>104</v>
      </c>
      <c r="O53" s="86">
        <v>0.09</v>
      </c>
      <c r="P53" s="9">
        <f t="shared" si="4"/>
        <v>9.36</v>
      </c>
      <c r="Q53" s="87">
        <v>44186</v>
      </c>
      <c r="R53" s="79">
        <f t="shared" si="5"/>
        <v>413580.95999999996</v>
      </c>
      <c r="S53" s="127"/>
    </row>
    <row r="54" spans="1:19" ht="19.5" x14ac:dyDescent="0.25">
      <c r="A54" s="99"/>
      <c r="B54" s="6" t="s">
        <v>96</v>
      </c>
      <c r="C54" s="6" t="s">
        <v>129</v>
      </c>
      <c r="D54" s="7" t="s">
        <v>92</v>
      </c>
      <c r="E54" s="100" t="s">
        <v>135</v>
      </c>
      <c r="F54" s="101"/>
      <c r="G54" s="102"/>
      <c r="H54" s="83">
        <v>0.09</v>
      </c>
      <c r="I54" s="8">
        <v>15</v>
      </c>
      <c r="J54" s="8">
        <v>12</v>
      </c>
      <c r="K54" s="8">
        <v>9</v>
      </c>
      <c r="L54" s="8">
        <f t="shared" si="1"/>
        <v>12</v>
      </c>
      <c r="M54" s="9">
        <f t="shared" si="2"/>
        <v>1</v>
      </c>
      <c r="N54" s="9">
        <f t="shared" si="3"/>
        <v>104</v>
      </c>
      <c r="O54" s="86">
        <v>0.09</v>
      </c>
      <c r="P54" s="9">
        <f t="shared" si="4"/>
        <v>9.36</v>
      </c>
      <c r="Q54" s="87">
        <v>44186</v>
      </c>
      <c r="R54" s="79">
        <f t="shared" si="5"/>
        <v>413580.95999999996</v>
      </c>
      <c r="S54" s="127"/>
    </row>
    <row r="55" spans="1:19" ht="19.5" x14ac:dyDescent="0.25">
      <c r="A55" s="99"/>
      <c r="B55" s="6" t="s">
        <v>97</v>
      </c>
      <c r="C55" s="6" t="s">
        <v>128</v>
      </c>
      <c r="D55" s="7" t="s">
        <v>92</v>
      </c>
      <c r="E55" s="100" t="s">
        <v>133</v>
      </c>
      <c r="F55" s="101"/>
      <c r="G55" s="102"/>
      <c r="H55" s="83">
        <v>0.09</v>
      </c>
      <c r="I55" s="8">
        <v>36</v>
      </c>
      <c r="J55" s="8">
        <v>30</v>
      </c>
      <c r="K55" s="8">
        <v>24</v>
      </c>
      <c r="L55" s="8">
        <f t="shared" si="1"/>
        <v>30</v>
      </c>
      <c r="M55" s="9">
        <f t="shared" si="2"/>
        <v>2</v>
      </c>
      <c r="N55" s="9">
        <f t="shared" si="3"/>
        <v>256</v>
      </c>
      <c r="O55" s="86">
        <v>0.09</v>
      </c>
      <c r="P55" s="9">
        <f t="shared" si="4"/>
        <v>23.04</v>
      </c>
      <c r="Q55" s="87">
        <v>44186</v>
      </c>
      <c r="R55" s="79">
        <f t="shared" si="5"/>
        <v>1018045.4399999999</v>
      </c>
      <c r="S55" s="127"/>
    </row>
    <row r="56" spans="1:19" ht="19.5" x14ac:dyDescent="0.25">
      <c r="A56" s="99"/>
      <c r="B56" s="6" t="s">
        <v>98</v>
      </c>
      <c r="C56" s="6" t="s">
        <v>130</v>
      </c>
      <c r="D56" s="7" t="s">
        <v>92</v>
      </c>
      <c r="E56" s="100" t="s">
        <v>134</v>
      </c>
      <c r="F56" s="101"/>
      <c r="G56" s="102"/>
      <c r="H56" s="83">
        <v>0.09</v>
      </c>
      <c r="I56" s="8">
        <v>36</v>
      </c>
      <c r="J56" s="8">
        <v>30</v>
      </c>
      <c r="K56" s="8">
        <v>24</v>
      </c>
      <c r="L56" s="8">
        <f t="shared" si="1"/>
        <v>30</v>
      </c>
      <c r="M56" s="9">
        <f t="shared" si="2"/>
        <v>2</v>
      </c>
      <c r="N56" s="9">
        <f t="shared" si="3"/>
        <v>256</v>
      </c>
      <c r="O56" s="86">
        <v>0.09</v>
      </c>
      <c r="P56" s="9">
        <f t="shared" si="4"/>
        <v>23.04</v>
      </c>
      <c r="Q56" s="87">
        <v>44186</v>
      </c>
      <c r="R56" s="79">
        <f t="shared" si="5"/>
        <v>1018045.4399999999</v>
      </c>
      <c r="S56" s="127"/>
    </row>
    <row r="57" spans="1:19" ht="19.5" x14ac:dyDescent="0.25">
      <c r="A57" s="99"/>
      <c r="B57" s="6" t="s">
        <v>99</v>
      </c>
      <c r="C57" s="6" t="s">
        <v>130</v>
      </c>
      <c r="D57" s="7" t="s">
        <v>92</v>
      </c>
      <c r="E57" s="100" t="s">
        <v>135</v>
      </c>
      <c r="F57" s="101"/>
      <c r="G57" s="102"/>
      <c r="H57" s="83">
        <v>0.09</v>
      </c>
      <c r="I57" s="8">
        <v>15</v>
      </c>
      <c r="J57" s="8">
        <v>12</v>
      </c>
      <c r="K57" s="8">
        <v>9</v>
      </c>
      <c r="L57" s="8">
        <f t="shared" si="1"/>
        <v>12</v>
      </c>
      <c r="M57" s="9">
        <f t="shared" si="2"/>
        <v>1</v>
      </c>
      <c r="N57" s="9">
        <f t="shared" si="3"/>
        <v>104</v>
      </c>
      <c r="O57" s="86">
        <v>0.09</v>
      </c>
      <c r="P57" s="9">
        <f t="shared" si="4"/>
        <v>9.36</v>
      </c>
      <c r="Q57" s="87">
        <v>44186</v>
      </c>
      <c r="R57" s="79">
        <f t="shared" si="5"/>
        <v>413580.95999999996</v>
      </c>
      <c r="S57" s="127"/>
    </row>
    <row r="58" spans="1:19" ht="19.5" x14ac:dyDescent="0.25">
      <c r="A58" s="99"/>
      <c r="B58" s="6" t="s">
        <v>100</v>
      </c>
      <c r="C58" s="6" t="s">
        <v>131</v>
      </c>
      <c r="D58" s="7" t="s">
        <v>167</v>
      </c>
      <c r="E58" s="100" t="s">
        <v>133</v>
      </c>
      <c r="F58" s="101"/>
      <c r="G58" s="102"/>
      <c r="H58" s="83">
        <v>0.09</v>
      </c>
      <c r="I58" s="8">
        <v>15</v>
      </c>
      <c r="J58" s="8">
        <v>12</v>
      </c>
      <c r="K58" s="8">
        <v>9</v>
      </c>
      <c r="L58" s="8">
        <f t="shared" si="1"/>
        <v>12</v>
      </c>
      <c r="M58" s="9">
        <f t="shared" si="2"/>
        <v>1</v>
      </c>
      <c r="N58" s="9">
        <f t="shared" si="3"/>
        <v>104</v>
      </c>
      <c r="O58" s="86">
        <v>0.09</v>
      </c>
      <c r="P58" s="9">
        <f t="shared" si="4"/>
        <v>9.36</v>
      </c>
      <c r="Q58" s="87">
        <v>44186</v>
      </c>
      <c r="R58" s="79">
        <f t="shared" si="5"/>
        <v>413580.95999999996</v>
      </c>
      <c r="S58" s="127"/>
    </row>
    <row r="59" spans="1:19" ht="19.5" x14ac:dyDescent="0.25">
      <c r="A59" s="99"/>
      <c r="B59" s="6" t="s">
        <v>101</v>
      </c>
      <c r="C59" s="6" t="s">
        <v>132</v>
      </c>
      <c r="D59" s="7" t="s">
        <v>92</v>
      </c>
      <c r="E59" s="100" t="s">
        <v>134</v>
      </c>
      <c r="F59" s="101"/>
      <c r="G59" s="102"/>
      <c r="H59" s="83">
        <v>0.09</v>
      </c>
      <c r="I59" s="8">
        <v>58</v>
      </c>
      <c r="J59" s="8">
        <v>48</v>
      </c>
      <c r="K59" s="8">
        <v>38</v>
      </c>
      <c r="L59" s="8">
        <f t="shared" si="1"/>
        <v>48</v>
      </c>
      <c r="M59" s="9">
        <f t="shared" si="2"/>
        <v>3.3333333333333335</v>
      </c>
      <c r="N59" s="9">
        <f t="shared" si="3"/>
        <v>410.66666666666669</v>
      </c>
      <c r="O59" s="86">
        <v>0.09</v>
      </c>
      <c r="P59" s="9">
        <f t="shared" si="4"/>
        <v>36.96</v>
      </c>
      <c r="Q59" s="87">
        <v>44186</v>
      </c>
      <c r="R59" s="79">
        <f t="shared" si="5"/>
        <v>1633114.56</v>
      </c>
      <c r="S59" s="127"/>
    </row>
    <row r="60" spans="1:19" ht="19.5" x14ac:dyDescent="0.25">
      <c r="A60" s="98" t="s">
        <v>136</v>
      </c>
      <c r="B60" s="6" t="s">
        <v>102</v>
      </c>
      <c r="C60" s="6" t="s">
        <v>140</v>
      </c>
      <c r="D60" s="7" t="s">
        <v>92</v>
      </c>
      <c r="E60" s="100" t="s">
        <v>133</v>
      </c>
      <c r="F60" s="101"/>
      <c r="G60" s="102"/>
      <c r="H60" s="83">
        <v>0.09</v>
      </c>
      <c r="I60" s="8">
        <v>90</v>
      </c>
      <c r="J60" s="8">
        <v>78</v>
      </c>
      <c r="K60" s="8">
        <v>66</v>
      </c>
      <c r="L60" s="8">
        <f t="shared" ref="L60:L65" si="6">(I60+4*J60+K60)/6</f>
        <v>78</v>
      </c>
      <c r="M60" s="9">
        <f t="shared" ref="M60:M65" si="7">(I60-K60)/6</f>
        <v>4</v>
      </c>
      <c r="N60" s="9">
        <f t="shared" ref="N60:N65" si="8">(L60+M60)*8</f>
        <v>656</v>
      </c>
      <c r="O60" s="86">
        <v>0.09</v>
      </c>
      <c r="P60" s="9">
        <f t="shared" ref="P60:P65" si="9">N60*O60</f>
        <v>59.04</v>
      </c>
      <c r="Q60" s="87">
        <v>44186</v>
      </c>
      <c r="R60" s="79">
        <f t="shared" ref="R60:R65" si="10">Q60*P60</f>
        <v>2608741.44</v>
      </c>
      <c r="S60" s="129">
        <f>SUM(R60:R65)</f>
        <v>7295992.3199999994</v>
      </c>
    </row>
    <row r="61" spans="1:19" ht="19.5" x14ac:dyDescent="0.25">
      <c r="A61" s="99"/>
      <c r="B61" s="6" t="s">
        <v>103</v>
      </c>
      <c r="C61" s="6" t="s">
        <v>141</v>
      </c>
      <c r="D61" s="7" t="s">
        <v>92</v>
      </c>
      <c r="E61" s="100" t="s">
        <v>134</v>
      </c>
      <c r="F61" s="101"/>
      <c r="G61" s="102"/>
      <c r="H61" s="83">
        <v>0.09</v>
      </c>
      <c r="I61" s="8">
        <v>36</v>
      </c>
      <c r="J61" s="8">
        <v>30</v>
      </c>
      <c r="K61" s="8">
        <v>24</v>
      </c>
      <c r="L61" s="8">
        <f t="shared" si="6"/>
        <v>30</v>
      </c>
      <c r="M61" s="9">
        <f t="shared" si="7"/>
        <v>2</v>
      </c>
      <c r="N61" s="9">
        <f t="shared" si="8"/>
        <v>256</v>
      </c>
      <c r="O61" s="86">
        <v>0.09</v>
      </c>
      <c r="P61" s="9">
        <f t="shared" si="9"/>
        <v>23.04</v>
      </c>
      <c r="Q61" s="87">
        <v>44186</v>
      </c>
      <c r="R61" s="79">
        <f t="shared" si="10"/>
        <v>1018045.4399999999</v>
      </c>
      <c r="S61" s="127"/>
    </row>
    <row r="62" spans="1:19" ht="19.5" x14ac:dyDescent="0.25">
      <c r="A62" s="99"/>
      <c r="B62" s="6" t="s">
        <v>104</v>
      </c>
      <c r="C62" s="6" t="s">
        <v>142</v>
      </c>
      <c r="D62" s="7" t="s">
        <v>92</v>
      </c>
      <c r="E62" s="100" t="s">
        <v>135</v>
      </c>
      <c r="F62" s="101"/>
      <c r="G62" s="102"/>
      <c r="H62" s="83">
        <v>0.09</v>
      </c>
      <c r="I62" s="8">
        <v>36</v>
      </c>
      <c r="J62" s="8">
        <v>30</v>
      </c>
      <c r="K62" s="8">
        <v>24</v>
      </c>
      <c r="L62" s="8">
        <f t="shared" si="6"/>
        <v>30</v>
      </c>
      <c r="M62" s="9">
        <f t="shared" si="7"/>
        <v>2</v>
      </c>
      <c r="N62" s="9">
        <f t="shared" si="8"/>
        <v>256</v>
      </c>
      <c r="O62" s="86">
        <v>0.09</v>
      </c>
      <c r="P62" s="9">
        <f t="shared" si="9"/>
        <v>23.04</v>
      </c>
      <c r="Q62" s="87">
        <v>44186</v>
      </c>
      <c r="R62" s="79">
        <f t="shared" si="10"/>
        <v>1018045.4399999999</v>
      </c>
      <c r="S62" s="127"/>
    </row>
    <row r="63" spans="1:19" ht="19.5" x14ac:dyDescent="0.25">
      <c r="A63" s="99"/>
      <c r="B63" s="6" t="s">
        <v>105</v>
      </c>
      <c r="C63" s="6" t="s">
        <v>143</v>
      </c>
      <c r="D63" s="7" t="s">
        <v>92</v>
      </c>
      <c r="E63" s="100" t="s">
        <v>133</v>
      </c>
      <c r="F63" s="101"/>
      <c r="G63" s="102"/>
      <c r="H63" s="83">
        <v>0.09</v>
      </c>
      <c r="I63" s="8">
        <v>36</v>
      </c>
      <c r="J63" s="8">
        <v>30</v>
      </c>
      <c r="K63" s="8">
        <v>24</v>
      </c>
      <c r="L63" s="8">
        <f t="shared" si="6"/>
        <v>30</v>
      </c>
      <c r="M63" s="9">
        <f t="shared" si="7"/>
        <v>2</v>
      </c>
      <c r="N63" s="9">
        <f t="shared" si="8"/>
        <v>256</v>
      </c>
      <c r="O63" s="86">
        <v>0.09</v>
      </c>
      <c r="P63" s="9">
        <f t="shared" si="9"/>
        <v>23.04</v>
      </c>
      <c r="Q63" s="87">
        <v>44186</v>
      </c>
      <c r="R63" s="79">
        <f t="shared" si="10"/>
        <v>1018045.4399999999</v>
      </c>
      <c r="S63" s="127"/>
    </row>
    <row r="64" spans="1:19" ht="19.5" x14ac:dyDescent="0.25">
      <c r="A64" s="99"/>
      <c r="B64" s="6" t="s">
        <v>106</v>
      </c>
      <c r="C64" s="6" t="s">
        <v>144</v>
      </c>
      <c r="D64" s="7" t="s">
        <v>92</v>
      </c>
      <c r="E64" s="100" t="s">
        <v>134</v>
      </c>
      <c r="F64" s="101"/>
      <c r="G64" s="102"/>
      <c r="H64" s="83">
        <v>0.09</v>
      </c>
      <c r="I64" s="8">
        <v>36</v>
      </c>
      <c r="J64" s="8">
        <v>30</v>
      </c>
      <c r="K64" s="8">
        <v>24</v>
      </c>
      <c r="L64" s="8">
        <f t="shared" si="6"/>
        <v>30</v>
      </c>
      <c r="M64" s="9">
        <f t="shared" si="7"/>
        <v>2</v>
      </c>
      <c r="N64" s="9">
        <f t="shared" si="8"/>
        <v>256</v>
      </c>
      <c r="O64" s="86">
        <v>0.09</v>
      </c>
      <c r="P64" s="9">
        <f t="shared" si="9"/>
        <v>23.04</v>
      </c>
      <c r="Q64" s="87">
        <v>44186</v>
      </c>
      <c r="R64" s="79">
        <f t="shared" si="10"/>
        <v>1018045.4399999999</v>
      </c>
      <c r="S64" s="127"/>
    </row>
    <row r="65" spans="1:19" ht="19.5" x14ac:dyDescent="0.25">
      <c r="A65" s="99"/>
      <c r="B65" s="6" t="s">
        <v>107</v>
      </c>
      <c r="C65" s="6" t="s">
        <v>145</v>
      </c>
      <c r="D65" s="7" t="s">
        <v>92</v>
      </c>
      <c r="E65" s="100" t="s">
        <v>135</v>
      </c>
      <c r="F65" s="101"/>
      <c r="G65" s="102"/>
      <c r="H65" s="83">
        <v>0.09</v>
      </c>
      <c r="I65" s="8">
        <v>22</v>
      </c>
      <c r="J65" s="8">
        <v>18</v>
      </c>
      <c r="K65" s="8">
        <v>14</v>
      </c>
      <c r="L65" s="8">
        <f t="shared" si="6"/>
        <v>18</v>
      </c>
      <c r="M65" s="9">
        <f t="shared" si="7"/>
        <v>1.3333333333333333</v>
      </c>
      <c r="N65" s="9">
        <f t="shared" si="8"/>
        <v>154.66666666666666</v>
      </c>
      <c r="O65" s="86">
        <v>0.09</v>
      </c>
      <c r="P65" s="9">
        <f t="shared" si="9"/>
        <v>13.919999999999998</v>
      </c>
      <c r="Q65" s="87">
        <v>44186</v>
      </c>
      <c r="R65" s="79">
        <f t="shared" si="10"/>
        <v>615069.11999999988</v>
      </c>
      <c r="S65" s="128"/>
    </row>
    <row r="66" spans="1:19" ht="19.5" x14ac:dyDescent="0.25">
      <c r="A66" s="98" t="s">
        <v>139</v>
      </c>
      <c r="B66" s="6" t="s">
        <v>137</v>
      </c>
      <c r="C66" s="6" t="s">
        <v>150</v>
      </c>
      <c r="D66" s="7" t="s">
        <v>92</v>
      </c>
      <c r="E66" s="100" t="s">
        <v>133</v>
      </c>
      <c r="F66" s="101"/>
      <c r="G66" s="102"/>
      <c r="H66" s="83">
        <v>0.09</v>
      </c>
      <c r="I66" s="8">
        <v>58</v>
      </c>
      <c r="J66" s="8">
        <v>48</v>
      </c>
      <c r="K66" s="8">
        <v>38</v>
      </c>
      <c r="L66" s="8">
        <f t="shared" ref="L66:L71" si="11">(I66+4*J66+K66)/6</f>
        <v>48</v>
      </c>
      <c r="M66" s="9">
        <f t="shared" ref="M66:M71" si="12">(I66-K66)/6</f>
        <v>3.3333333333333335</v>
      </c>
      <c r="N66" s="9">
        <f t="shared" ref="N66:N71" si="13">(L66+M66)*8</f>
        <v>410.66666666666669</v>
      </c>
      <c r="O66" s="86">
        <v>0.09</v>
      </c>
      <c r="P66" s="9">
        <f t="shared" ref="P66:P71" si="14">N66*O66</f>
        <v>36.96</v>
      </c>
      <c r="Q66" s="87">
        <v>44186</v>
      </c>
      <c r="R66" s="79">
        <f t="shared" ref="R66:R71" si="15">Q66*P66</f>
        <v>1633114.56</v>
      </c>
      <c r="S66" s="129">
        <f>SUM(R66:R71)</f>
        <v>8568549.1199999992</v>
      </c>
    </row>
    <row r="67" spans="1:19" ht="19.5" x14ac:dyDescent="0.25">
      <c r="A67" s="99"/>
      <c r="B67" s="6" t="s">
        <v>138</v>
      </c>
      <c r="C67" s="6" t="s">
        <v>151</v>
      </c>
      <c r="D67" s="7" t="s">
        <v>92</v>
      </c>
      <c r="E67" s="100" t="s">
        <v>134</v>
      </c>
      <c r="F67" s="101"/>
      <c r="G67" s="102"/>
      <c r="H67" s="83">
        <v>0.09</v>
      </c>
      <c r="I67" s="8">
        <v>58</v>
      </c>
      <c r="J67" s="8">
        <v>48</v>
      </c>
      <c r="K67" s="8">
        <v>38</v>
      </c>
      <c r="L67" s="8">
        <f t="shared" si="11"/>
        <v>48</v>
      </c>
      <c r="M67" s="9">
        <f t="shared" si="12"/>
        <v>3.3333333333333335</v>
      </c>
      <c r="N67" s="9">
        <f t="shared" si="13"/>
        <v>410.66666666666669</v>
      </c>
      <c r="O67" s="86">
        <v>0.09</v>
      </c>
      <c r="P67" s="9">
        <f t="shared" si="14"/>
        <v>36.96</v>
      </c>
      <c r="Q67" s="87">
        <v>44186</v>
      </c>
      <c r="R67" s="79">
        <f t="shared" si="15"/>
        <v>1633114.56</v>
      </c>
      <c r="S67" s="127"/>
    </row>
    <row r="68" spans="1:19" ht="19.5" x14ac:dyDescent="0.25">
      <c r="A68" s="99"/>
      <c r="B68" s="6" t="s">
        <v>146</v>
      </c>
      <c r="C68" s="6" t="s">
        <v>152</v>
      </c>
      <c r="D68" s="7" t="s">
        <v>92</v>
      </c>
      <c r="E68" s="100" t="s">
        <v>135</v>
      </c>
      <c r="F68" s="101"/>
      <c r="G68" s="102"/>
      <c r="H68" s="83">
        <v>0.09</v>
      </c>
      <c r="I68" s="8">
        <v>58</v>
      </c>
      <c r="J68" s="8">
        <v>48</v>
      </c>
      <c r="K68" s="8">
        <v>38</v>
      </c>
      <c r="L68" s="8">
        <f t="shared" si="11"/>
        <v>48</v>
      </c>
      <c r="M68" s="9">
        <f t="shared" si="12"/>
        <v>3.3333333333333335</v>
      </c>
      <c r="N68" s="9">
        <f t="shared" si="13"/>
        <v>410.66666666666669</v>
      </c>
      <c r="O68" s="86">
        <v>0.09</v>
      </c>
      <c r="P68" s="9">
        <f t="shared" si="14"/>
        <v>36.96</v>
      </c>
      <c r="Q68" s="87">
        <v>44186</v>
      </c>
      <c r="R68" s="79">
        <f t="shared" si="15"/>
        <v>1633114.56</v>
      </c>
      <c r="S68" s="127"/>
    </row>
    <row r="69" spans="1:19" ht="19.5" x14ac:dyDescent="0.25">
      <c r="A69" s="99"/>
      <c r="B69" s="6" t="s">
        <v>147</v>
      </c>
      <c r="C69" s="6" t="s">
        <v>153</v>
      </c>
      <c r="D69" s="7" t="s">
        <v>92</v>
      </c>
      <c r="E69" s="100" t="s">
        <v>133</v>
      </c>
      <c r="F69" s="101"/>
      <c r="G69" s="102"/>
      <c r="H69" s="83">
        <v>0.09</v>
      </c>
      <c r="I69" s="8">
        <v>36</v>
      </c>
      <c r="J69" s="8">
        <v>30</v>
      </c>
      <c r="K69" s="8">
        <v>24</v>
      </c>
      <c r="L69" s="8">
        <f t="shared" si="11"/>
        <v>30</v>
      </c>
      <c r="M69" s="9">
        <f t="shared" si="12"/>
        <v>2</v>
      </c>
      <c r="N69" s="9">
        <f t="shared" si="13"/>
        <v>256</v>
      </c>
      <c r="O69" s="86">
        <v>0.09</v>
      </c>
      <c r="P69" s="9">
        <f t="shared" si="14"/>
        <v>23.04</v>
      </c>
      <c r="Q69" s="87">
        <v>44186</v>
      </c>
      <c r="R69" s="79">
        <f t="shared" si="15"/>
        <v>1018045.4399999999</v>
      </c>
      <c r="S69" s="127"/>
    </row>
    <row r="70" spans="1:19" ht="19.5" x14ac:dyDescent="0.25">
      <c r="A70" s="99"/>
      <c r="B70" s="6" t="s">
        <v>148</v>
      </c>
      <c r="C70" s="6" t="s">
        <v>154</v>
      </c>
      <c r="D70" s="7" t="s">
        <v>92</v>
      </c>
      <c r="E70" s="100" t="s">
        <v>134</v>
      </c>
      <c r="F70" s="101"/>
      <c r="G70" s="102"/>
      <c r="H70" s="83">
        <v>0.09</v>
      </c>
      <c r="I70" s="8">
        <v>36</v>
      </c>
      <c r="J70" s="8">
        <v>30</v>
      </c>
      <c r="K70" s="8">
        <v>24</v>
      </c>
      <c r="L70" s="8">
        <f t="shared" si="11"/>
        <v>30</v>
      </c>
      <c r="M70" s="9">
        <f t="shared" si="12"/>
        <v>2</v>
      </c>
      <c r="N70" s="9">
        <f t="shared" si="13"/>
        <v>256</v>
      </c>
      <c r="O70" s="86">
        <v>0.09</v>
      </c>
      <c r="P70" s="9">
        <f t="shared" si="14"/>
        <v>23.04</v>
      </c>
      <c r="Q70" s="87">
        <v>44186</v>
      </c>
      <c r="R70" s="79">
        <f t="shared" si="15"/>
        <v>1018045.4399999999</v>
      </c>
      <c r="S70" s="127"/>
    </row>
    <row r="71" spans="1:19" ht="19.5" x14ac:dyDescent="0.25">
      <c r="A71" s="99"/>
      <c r="B71" s="6" t="s">
        <v>149</v>
      </c>
      <c r="C71" s="6" t="s">
        <v>155</v>
      </c>
      <c r="D71" s="7" t="s">
        <v>92</v>
      </c>
      <c r="E71" s="100" t="s">
        <v>135</v>
      </c>
      <c r="F71" s="101"/>
      <c r="G71" s="102"/>
      <c r="H71" s="83">
        <v>0.09</v>
      </c>
      <c r="I71" s="8">
        <v>58</v>
      </c>
      <c r="J71" s="8">
        <v>48</v>
      </c>
      <c r="K71" s="8">
        <v>38</v>
      </c>
      <c r="L71" s="8">
        <f t="shared" si="11"/>
        <v>48</v>
      </c>
      <c r="M71" s="9">
        <f t="shared" si="12"/>
        <v>3.3333333333333335</v>
      </c>
      <c r="N71" s="9">
        <f t="shared" si="13"/>
        <v>410.66666666666669</v>
      </c>
      <c r="O71" s="86">
        <v>0.09</v>
      </c>
      <c r="P71" s="9">
        <f t="shared" si="14"/>
        <v>36.96</v>
      </c>
      <c r="Q71" s="87">
        <v>44186</v>
      </c>
      <c r="R71" s="79">
        <f t="shared" si="15"/>
        <v>1633114.56</v>
      </c>
      <c r="S71" s="128"/>
    </row>
    <row r="72" spans="1:19" ht="19.5" x14ac:dyDescent="0.25">
      <c r="A72" s="155" t="s">
        <v>156</v>
      </c>
      <c r="B72" s="80" t="s">
        <v>157</v>
      </c>
      <c r="C72" s="6" t="s">
        <v>162</v>
      </c>
      <c r="D72" s="7" t="s">
        <v>92</v>
      </c>
      <c r="E72" s="100" t="s">
        <v>133</v>
      </c>
      <c r="F72" s="101"/>
      <c r="G72" s="102"/>
      <c r="H72" s="83">
        <v>0.09</v>
      </c>
      <c r="I72" s="8">
        <v>22</v>
      </c>
      <c r="J72" s="8">
        <v>18</v>
      </c>
      <c r="K72" s="8">
        <v>14</v>
      </c>
      <c r="L72" s="8">
        <f>(I72+4*J72+K72)/6</f>
        <v>18</v>
      </c>
      <c r="M72" s="9">
        <f>(I72-K72)/6</f>
        <v>1.3333333333333333</v>
      </c>
      <c r="N72" s="9">
        <f>(L72+M72)*8</f>
        <v>154.66666666666666</v>
      </c>
      <c r="O72" s="86">
        <v>0.09</v>
      </c>
      <c r="P72" s="9">
        <f>N72*O72</f>
        <v>13.919999999999998</v>
      </c>
      <c r="Q72" s="87">
        <v>44186</v>
      </c>
      <c r="R72" s="79">
        <f>Q72*P72</f>
        <v>615069.11999999988</v>
      </c>
      <c r="S72" s="129">
        <f>SUM(R72:R76)</f>
        <v>3478321.92</v>
      </c>
    </row>
    <row r="73" spans="1:19" ht="19.5" x14ac:dyDescent="0.25">
      <c r="A73" s="156"/>
      <c r="B73" s="80" t="s">
        <v>158</v>
      </c>
      <c r="C73" s="6" t="s">
        <v>163</v>
      </c>
      <c r="D73" s="7" t="s">
        <v>92</v>
      </c>
      <c r="E73" s="100" t="s">
        <v>134</v>
      </c>
      <c r="F73" s="101"/>
      <c r="G73" s="102"/>
      <c r="H73" s="83">
        <v>0.09</v>
      </c>
      <c r="I73" s="8">
        <v>36</v>
      </c>
      <c r="J73" s="8">
        <v>30</v>
      </c>
      <c r="K73" s="8">
        <v>24</v>
      </c>
      <c r="L73" s="8">
        <f>(I73+4*J73+K73)/6</f>
        <v>30</v>
      </c>
      <c r="M73" s="9">
        <f>(I73-K73)/6</f>
        <v>2</v>
      </c>
      <c r="N73" s="9">
        <f>(L73+M73)*8</f>
        <v>256</v>
      </c>
      <c r="O73" s="86">
        <v>0.09</v>
      </c>
      <c r="P73" s="9">
        <f>N73*O73</f>
        <v>23.04</v>
      </c>
      <c r="Q73" s="87">
        <v>44186</v>
      </c>
      <c r="R73" s="79">
        <f>Q73*P73</f>
        <v>1018045.4399999999</v>
      </c>
      <c r="S73" s="127"/>
    </row>
    <row r="74" spans="1:19" ht="19.5" x14ac:dyDescent="0.25">
      <c r="A74" s="107"/>
      <c r="B74" s="80" t="s">
        <v>159</v>
      </c>
      <c r="C74" s="6" t="s">
        <v>164</v>
      </c>
      <c r="D74" s="7" t="s">
        <v>92</v>
      </c>
      <c r="E74" s="100" t="s">
        <v>135</v>
      </c>
      <c r="F74" s="101"/>
      <c r="G74" s="102"/>
      <c r="H74" s="83">
        <v>0.09</v>
      </c>
      <c r="I74" s="8">
        <v>36</v>
      </c>
      <c r="J74" s="8">
        <v>30</v>
      </c>
      <c r="K74" s="8">
        <v>24</v>
      </c>
      <c r="L74" s="8">
        <f>(I74+4*J74+K74)/6</f>
        <v>30</v>
      </c>
      <c r="M74" s="9">
        <f>(I74-K74)/6</f>
        <v>2</v>
      </c>
      <c r="N74" s="9">
        <f>(L74+M74)*8</f>
        <v>256</v>
      </c>
      <c r="O74" s="86">
        <v>0.09</v>
      </c>
      <c r="P74" s="9">
        <f>N74*O74</f>
        <v>23.04</v>
      </c>
      <c r="Q74" s="87">
        <v>44186</v>
      </c>
      <c r="R74" s="79">
        <f>Q74*P74</f>
        <v>1018045.4399999999</v>
      </c>
      <c r="S74" s="127"/>
    </row>
    <row r="75" spans="1:19" ht="19.5" x14ac:dyDescent="0.25">
      <c r="A75" s="157"/>
      <c r="B75" s="80" t="s">
        <v>160</v>
      </c>
      <c r="C75" s="6" t="s">
        <v>165</v>
      </c>
      <c r="D75" s="7" t="s">
        <v>92</v>
      </c>
      <c r="E75" s="100" t="s">
        <v>133</v>
      </c>
      <c r="F75" s="101"/>
      <c r="G75" s="102"/>
      <c r="H75" s="83">
        <v>0.09</v>
      </c>
      <c r="I75" s="8">
        <v>8</v>
      </c>
      <c r="J75" s="8">
        <v>6</v>
      </c>
      <c r="K75" s="8">
        <v>4</v>
      </c>
      <c r="L75" s="8">
        <f>(I75+4*J75+K75)/6</f>
        <v>6</v>
      </c>
      <c r="M75" s="9">
        <f>(I75-K75)/6</f>
        <v>0.66666666666666663</v>
      </c>
      <c r="N75" s="9">
        <f>(L75+M75)*8</f>
        <v>53.333333333333336</v>
      </c>
      <c r="O75" s="86">
        <v>0.09</v>
      </c>
      <c r="P75" s="9">
        <f>N75*O75</f>
        <v>4.8</v>
      </c>
      <c r="Q75" s="87">
        <v>44186</v>
      </c>
      <c r="R75" s="79">
        <f>Q75*P75</f>
        <v>212092.79999999999</v>
      </c>
      <c r="S75" s="127"/>
    </row>
    <row r="76" spans="1:19" ht="15.75" customHeight="1" x14ac:dyDescent="0.25">
      <c r="A76" s="156"/>
      <c r="B76" s="80" t="s">
        <v>161</v>
      </c>
      <c r="C76" s="6" t="s">
        <v>166</v>
      </c>
      <c r="D76" s="7" t="s">
        <v>92</v>
      </c>
      <c r="E76" s="100" t="s">
        <v>134</v>
      </c>
      <c r="F76" s="101"/>
      <c r="G76" s="102"/>
      <c r="H76" s="83">
        <v>0.09</v>
      </c>
      <c r="I76" s="8">
        <v>22</v>
      </c>
      <c r="J76" s="8">
        <v>18</v>
      </c>
      <c r="K76" s="8">
        <v>14</v>
      </c>
      <c r="L76" s="8">
        <f>(I76+4*J76+K76)/6</f>
        <v>18</v>
      </c>
      <c r="M76" s="9">
        <f>(I76-K76)/6</f>
        <v>1.3333333333333333</v>
      </c>
      <c r="N76" s="9">
        <f>(L76+M76)*8</f>
        <v>154.66666666666666</v>
      </c>
      <c r="O76" s="86">
        <v>0.09</v>
      </c>
      <c r="P76" s="9">
        <f>N76*O76</f>
        <v>13.919999999999998</v>
      </c>
      <c r="Q76" s="87">
        <v>44186</v>
      </c>
      <c r="R76" s="79">
        <f>Q76*P76</f>
        <v>615069.11999999988</v>
      </c>
      <c r="S76" s="128"/>
    </row>
    <row r="77" spans="1:19" ht="15.75" customHeight="1" x14ac:dyDescent="0.25">
      <c r="A77" s="108"/>
      <c r="B77" s="108"/>
      <c r="C77" s="108"/>
      <c r="D77" s="108"/>
      <c r="E77" s="108"/>
      <c r="F77" s="108"/>
      <c r="G77" s="108"/>
      <c r="H77" s="108"/>
      <c r="I77" s="108"/>
      <c r="J77" s="108"/>
      <c r="K77" s="108"/>
      <c r="S77" s="93">
        <f>SUM(S46:S76)</f>
        <v>26902541.759999998</v>
      </c>
    </row>
    <row r="78" spans="1:19" ht="15.75" customHeight="1" x14ac:dyDescent="0.25"/>
    <row r="79" spans="1:19" ht="15.75" customHeight="1" x14ac:dyDescent="0.25"/>
    <row r="80" spans="1:19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</sheetData>
  <mergeCells count="19">
    <mergeCell ref="B1:C1"/>
    <mergeCell ref="E45:G45"/>
    <mergeCell ref="S72:S76"/>
    <mergeCell ref="A23:A28"/>
    <mergeCell ref="G23:G28"/>
    <mergeCell ref="A29:A34"/>
    <mergeCell ref="G29:G34"/>
    <mergeCell ref="A35:A39"/>
    <mergeCell ref="G35:G39"/>
    <mergeCell ref="A13:D13"/>
    <mergeCell ref="E13:G13"/>
    <mergeCell ref="A15:A22"/>
    <mergeCell ref="G15:G22"/>
    <mergeCell ref="S60:S65"/>
    <mergeCell ref="S66:S71"/>
    <mergeCell ref="S46:S51"/>
    <mergeCell ref="S52:S59"/>
    <mergeCell ref="A44:P44"/>
    <mergeCell ref="Q44:S44"/>
  </mergeCells>
  <phoneticPr fontId="23" type="noConversion"/>
  <pageMargins left="0.70866141732283472" right="0.70866141732283472" top="0.74803149606299213" bottom="0.74803149606299213" header="0" footer="0"/>
  <pageSetup paperSize="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F746F-F98E-4114-B640-00A56905DD45}">
  <dimension ref="A1:B7"/>
  <sheetViews>
    <sheetView workbookViewId="0">
      <selection sqref="A1:B7"/>
    </sheetView>
  </sheetViews>
  <sheetFormatPr baseColWidth="10" defaultRowHeight="15" x14ac:dyDescent="0.25"/>
  <cols>
    <col min="1" max="1" width="27.85546875" customWidth="1"/>
    <col min="2" max="2" width="18" customWidth="1"/>
  </cols>
  <sheetData>
    <row r="1" spans="1:2" ht="31.5" customHeight="1" x14ac:dyDescent="0.25">
      <c r="A1" s="148" t="s">
        <v>186</v>
      </c>
      <c r="B1" s="149"/>
    </row>
    <row r="2" spans="1:2" ht="21.75" customHeight="1" x14ac:dyDescent="0.25">
      <c r="A2" s="146" t="s">
        <v>67</v>
      </c>
      <c r="B2" s="147" t="s">
        <v>185</v>
      </c>
    </row>
    <row r="3" spans="1:2" x14ac:dyDescent="0.25">
      <c r="A3" s="150" t="s">
        <v>187</v>
      </c>
      <c r="B3" s="151" t="s">
        <v>192</v>
      </c>
    </row>
    <row r="4" spans="1:2" x14ac:dyDescent="0.25">
      <c r="A4" s="150" t="s">
        <v>188</v>
      </c>
      <c r="B4" s="151" t="s">
        <v>193</v>
      </c>
    </row>
    <row r="5" spans="1:2" x14ac:dyDescent="0.25">
      <c r="A5" s="150" t="s">
        <v>189</v>
      </c>
      <c r="B5" s="151">
        <v>6</v>
      </c>
    </row>
    <row r="6" spans="1:2" x14ac:dyDescent="0.25">
      <c r="A6" s="150" t="s">
        <v>190</v>
      </c>
      <c r="B6" s="151" t="s">
        <v>194</v>
      </c>
    </row>
    <row r="7" spans="1:2" x14ac:dyDescent="0.25">
      <c r="A7" s="150" t="s">
        <v>191</v>
      </c>
      <c r="B7" s="152">
        <v>310092451</v>
      </c>
    </row>
  </sheetData>
  <mergeCells count="1">
    <mergeCell ref="A1:B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H983"/>
  <sheetViews>
    <sheetView topLeftCell="A37" zoomScale="89" zoomScaleNormal="89" workbookViewId="0">
      <selection activeCell="D55" sqref="D55"/>
    </sheetView>
  </sheetViews>
  <sheetFormatPr baseColWidth="10" defaultColWidth="14.42578125" defaultRowHeight="15" customHeight="1" x14ac:dyDescent="0.25"/>
  <cols>
    <col min="1" max="1" width="53.42578125" customWidth="1"/>
    <col min="2" max="2" width="24.7109375" customWidth="1"/>
    <col min="3" max="3" width="12.140625" bestFit="1" customWidth="1"/>
    <col min="4" max="4" width="13.85546875" customWidth="1"/>
    <col min="5" max="5" width="17.42578125" customWidth="1"/>
    <col min="6" max="6" width="13.7109375" customWidth="1"/>
    <col min="7" max="7" width="10.7109375" customWidth="1"/>
    <col min="8" max="8" width="16.28515625" customWidth="1"/>
    <col min="9" max="26" width="10.7109375" customWidth="1"/>
  </cols>
  <sheetData>
    <row r="2" spans="1:8" x14ac:dyDescent="0.25">
      <c r="A2" s="13" t="s">
        <v>23</v>
      </c>
      <c r="B2" s="14">
        <v>0.02</v>
      </c>
      <c r="C2" s="15"/>
      <c r="D2" s="15"/>
      <c r="E2" s="16"/>
      <c r="F2" s="16"/>
      <c r="G2" s="16"/>
      <c r="H2" s="16"/>
    </row>
    <row r="3" spans="1:8" x14ac:dyDescent="0.25">
      <c r="A3" s="13" t="s">
        <v>24</v>
      </c>
      <c r="B3" s="17">
        <v>5.8</v>
      </c>
      <c r="C3" s="16"/>
      <c r="D3" s="16"/>
      <c r="E3" s="16"/>
      <c r="F3" s="16"/>
      <c r="G3" s="16"/>
      <c r="H3" s="16"/>
    </row>
    <row r="4" spans="1:8" x14ac:dyDescent="0.25">
      <c r="A4" s="13" t="s">
        <v>25</v>
      </c>
      <c r="B4" s="14">
        <v>0.05</v>
      </c>
      <c r="C4" s="16"/>
      <c r="D4" s="16"/>
      <c r="E4" s="16"/>
      <c r="F4" s="16"/>
      <c r="G4" s="16"/>
      <c r="H4" s="16"/>
    </row>
    <row r="5" spans="1:8" x14ac:dyDescent="0.25">
      <c r="A5" s="13" t="s">
        <v>26</v>
      </c>
      <c r="B5" s="17">
        <v>160</v>
      </c>
      <c r="C5" s="16"/>
      <c r="D5" s="16"/>
      <c r="E5" s="16"/>
      <c r="F5" s="16"/>
      <c r="G5" s="16"/>
      <c r="H5" s="16"/>
    </row>
    <row r="6" spans="1:8" x14ac:dyDescent="0.25">
      <c r="A6" s="16"/>
      <c r="B6" s="16"/>
      <c r="C6" s="16"/>
      <c r="D6" s="16"/>
      <c r="E6" s="16"/>
      <c r="F6" s="16"/>
      <c r="G6" s="16"/>
      <c r="H6" s="16"/>
    </row>
    <row r="7" spans="1:8" x14ac:dyDescent="0.25">
      <c r="A7" s="136" t="s">
        <v>27</v>
      </c>
      <c r="B7" s="137"/>
      <c r="C7" s="137"/>
      <c r="D7" s="137"/>
      <c r="E7" s="137"/>
      <c r="F7" s="137"/>
      <c r="G7" s="137"/>
      <c r="H7" s="138"/>
    </row>
    <row r="8" spans="1:8" x14ac:dyDescent="0.25">
      <c r="A8" s="139" t="s">
        <v>28</v>
      </c>
      <c r="B8" s="140"/>
      <c r="C8" s="140"/>
      <c r="D8" s="140"/>
      <c r="E8" s="140"/>
      <c r="F8" s="140"/>
      <c r="G8" s="140"/>
      <c r="H8" s="141"/>
    </row>
    <row r="9" spans="1:8" ht="25.5" x14ac:dyDescent="0.25">
      <c r="A9" s="18" t="s">
        <v>29</v>
      </c>
      <c r="B9" s="19" t="s">
        <v>30</v>
      </c>
      <c r="C9" s="19" t="s">
        <v>31</v>
      </c>
      <c r="D9" s="19" t="s">
        <v>32</v>
      </c>
      <c r="E9" s="19" t="s">
        <v>33</v>
      </c>
      <c r="F9" s="19" t="s">
        <v>34</v>
      </c>
      <c r="G9" s="20" t="s">
        <v>35</v>
      </c>
      <c r="H9" s="21" t="s">
        <v>36</v>
      </c>
    </row>
    <row r="10" spans="1:8" x14ac:dyDescent="0.25">
      <c r="A10" s="22" t="s">
        <v>37</v>
      </c>
      <c r="B10" s="23">
        <v>3</v>
      </c>
      <c r="C10" s="24">
        <v>4500000</v>
      </c>
      <c r="D10" s="25">
        <v>60000</v>
      </c>
      <c r="E10" s="26">
        <f t="shared" ref="E10:E15" si="0">(C10+D10)*0.52</f>
        <v>2371200</v>
      </c>
      <c r="F10" s="26">
        <f t="shared" ref="F10:F15" si="1">(C10+E10+D10)*(1+$B$2)</f>
        <v>7069824</v>
      </c>
      <c r="G10" s="27">
        <f t="shared" ref="G10:G15" si="2">F10/$B$5</f>
        <v>44186.400000000001</v>
      </c>
      <c r="H10" s="28">
        <f t="shared" ref="H10:H15" si="3">F10*B10</f>
        <v>21209472</v>
      </c>
    </row>
    <row r="11" spans="1:8" x14ac:dyDescent="0.25">
      <c r="A11" s="22" t="s">
        <v>38</v>
      </c>
      <c r="B11" s="23">
        <v>0</v>
      </c>
      <c r="C11" s="24">
        <v>9000000</v>
      </c>
      <c r="D11" s="25">
        <v>70000</v>
      </c>
      <c r="E11" s="26">
        <f t="shared" si="0"/>
        <v>4716400</v>
      </c>
      <c r="F11" s="26">
        <f t="shared" si="1"/>
        <v>14062128</v>
      </c>
      <c r="G11" s="27">
        <f t="shared" si="2"/>
        <v>87888.3</v>
      </c>
      <c r="H11" s="28">
        <f t="shared" si="3"/>
        <v>0</v>
      </c>
    </row>
    <row r="12" spans="1:8" x14ac:dyDescent="0.25">
      <c r="A12" s="22" t="s">
        <v>39</v>
      </c>
      <c r="B12" s="23">
        <v>1</v>
      </c>
      <c r="C12" s="24">
        <v>7500000</v>
      </c>
      <c r="D12" s="25">
        <v>70000</v>
      </c>
      <c r="E12" s="26">
        <f t="shared" si="0"/>
        <v>3936400</v>
      </c>
      <c r="F12" s="26">
        <f t="shared" si="1"/>
        <v>11736528</v>
      </c>
      <c r="G12" s="27">
        <f t="shared" si="2"/>
        <v>73353.3</v>
      </c>
      <c r="H12" s="28">
        <f t="shared" si="3"/>
        <v>11736528</v>
      </c>
    </row>
    <row r="13" spans="1:8" x14ac:dyDescent="0.25">
      <c r="A13" s="22" t="s">
        <v>40</v>
      </c>
      <c r="B13" s="23">
        <v>0</v>
      </c>
      <c r="C13" s="24">
        <v>11000000</v>
      </c>
      <c r="D13" s="25">
        <v>60000</v>
      </c>
      <c r="E13" s="26">
        <f t="shared" si="0"/>
        <v>5751200</v>
      </c>
      <c r="F13" s="26">
        <f t="shared" si="1"/>
        <v>17147424</v>
      </c>
      <c r="G13" s="27">
        <f t="shared" si="2"/>
        <v>107171.4</v>
      </c>
      <c r="H13" s="28">
        <f t="shared" si="3"/>
        <v>0</v>
      </c>
    </row>
    <row r="14" spans="1:8" x14ac:dyDescent="0.25">
      <c r="A14" s="22" t="s">
        <v>41</v>
      </c>
      <c r="B14" s="29">
        <v>0</v>
      </c>
      <c r="C14" s="24">
        <v>5000000</v>
      </c>
      <c r="D14" s="25">
        <v>70000</v>
      </c>
      <c r="E14" s="26">
        <f t="shared" si="0"/>
        <v>2636400</v>
      </c>
      <c r="F14" s="26">
        <f t="shared" si="1"/>
        <v>7860528</v>
      </c>
      <c r="G14" s="27">
        <f t="shared" si="2"/>
        <v>49128.3</v>
      </c>
      <c r="H14" s="28">
        <f t="shared" si="3"/>
        <v>0</v>
      </c>
    </row>
    <row r="15" spans="1:8" x14ac:dyDescent="0.25">
      <c r="A15" s="22" t="s">
        <v>42</v>
      </c>
      <c r="B15" s="29">
        <v>0</v>
      </c>
      <c r="C15" s="24">
        <v>4500000</v>
      </c>
      <c r="D15" s="25">
        <v>100000</v>
      </c>
      <c r="E15" s="26">
        <f t="shared" si="0"/>
        <v>2392000</v>
      </c>
      <c r="F15" s="26">
        <f t="shared" si="1"/>
        <v>7131840</v>
      </c>
      <c r="G15" s="27">
        <f t="shared" si="2"/>
        <v>44574</v>
      </c>
      <c r="H15" s="28">
        <f t="shared" si="3"/>
        <v>0</v>
      </c>
    </row>
    <row r="16" spans="1:8" x14ac:dyDescent="0.25">
      <c r="A16" s="22" t="s">
        <v>91</v>
      </c>
      <c r="B16" s="23">
        <v>2</v>
      </c>
      <c r="C16" s="24">
        <v>4500000</v>
      </c>
      <c r="D16" s="25">
        <v>100000</v>
      </c>
      <c r="E16" s="26">
        <f>(C16+D16)*0.52</f>
        <v>2392000</v>
      </c>
      <c r="F16" s="26">
        <f>(C16+E16+D16)*(1+$B$2)</f>
        <v>7131840</v>
      </c>
      <c r="G16" s="27">
        <f>F16/$B$5</f>
        <v>44574</v>
      </c>
      <c r="H16" s="28">
        <f>F16*B16</f>
        <v>14263680</v>
      </c>
    </row>
    <row r="17" spans="1:8" x14ac:dyDescent="0.25">
      <c r="A17" s="22"/>
      <c r="B17" s="23"/>
      <c r="C17" s="24"/>
      <c r="D17" s="25"/>
      <c r="E17" s="26"/>
      <c r="F17" s="26"/>
      <c r="G17" s="27"/>
      <c r="H17" s="28"/>
    </row>
    <row r="18" spans="1:8" x14ac:dyDescent="0.25">
      <c r="A18" s="22"/>
      <c r="B18" s="23"/>
      <c r="C18" s="24"/>
      <c r="D18" s="25"/>
      <c r="E18" s="26"/>
      <c r="F18" s="26"/>
      <c r="G18" s="27"/>
      <c r="H18" s="28"/>
    </row>
    <row r="19" spans="1:8" x14ac:dyDescent="0.25">
      <c r="A19" s="30"/>
      <c r="B19" s="31"/>
      <c r="C19" s="32"/>
      <c r="D19" s="32" t="s">
        <v>43</v>
      </c>
      <c r="E19" s="26"/>
      <c r="F19" s="26"/>
      <c r="G19" s="27"/>
      <c r="H19" s="28"/>
    </row>
    <row r="20" spans="1:8" x14ac:dyDescent="0.25">
      <c r="A20" s="30"/>
      <c r="B20" s="31"/>
      <c r="C20" s="32"/>
      <c r="D20" s="32"/>
      <c r="E20" s="26"/>
      <c r="F20" s="26"/>
      <c r="G20" s="27"/>
      <c r="H20" s="28"/>
    </row>
    <row r="21" spans="1:8" ht="15.75" customHeight="1" x14ac:dyDescent="0.25">
      <c r="A21" s="30"/>
      <c r="B21" s="23"/>
      <c r="C21" s="32"/>
      <c r="D21" s="32"/>
      <c r="E21" s="26"/>
      <c r="F21" s="26"/>
      <c r="G21" s="27"/>
      <c r="H21" s="28"/>
    </row>
    <row r="22" spans="1:8" ht="15.75" customHeight="1" x14ac:dyDescent="0.25">
      <c r="A22" s="30"/>
      <c r="B22" s="33"/>
      <c r="C22" s="26"/>
      <c r="D22" s="26"/>
      <c r="E22" s="26"/>
      <c r="F22" s="26"/>
      <c r="G22" s="27"/>
      <c r="H22" s="28"/>
    </row>
    <row r="23" spans="1:8" ht="15.75" customHeight="1" x14ac:dyDescent="0.25">
      <c r="A23" s="34"/>
      <c r="B23" s="33"/>
      <c r="C23" s="26"/>
      <c r="D23" s="26"/>
      <c r="E23" s="26"/>
      <c r="F23" s="26"/>
      <c r="G23" s="27"/>
      <c r="H23" s="28"/>
    </row>
    <row r="24" spans="1:8" ht="15.75" customHeight="1" x14ac:dyDescent="0.25">
      <c r="A24" s="34"/>
      <c r="B24" s="33"/>
      <c r="C24" s="26"/>
      <c r="D24" s="26"/>
      <c r="E24" s="26"/>
      <c r="F24" s="26"/>
      <c r="G24" s="27"/>
      <c r="H24" s="28"/>
    </row>
    <row r="25" spans="1:8" ht="15.75" customHeight="1" x14ac:dyDescent="0.25">
      <c r="A25" s="34"/>
      <c r="B25" s="33"/>
      <c r="C25" s="26"/>
      <c r="D25" s="26"/>
      <c r="E25" s="26"/>
      <c r="F25" s="26"/>
      <c r="G25" s="27"/>
      <c r="H25" s="28"/>
    </row>
    <row r="26" spans="1:8" ht="15.75" customHeight="1" x14ac:dyDescent="0.25">
      <c r="A26" s="34"/>
      <c r="B26" s="33"/>
      <c r="C26" s="26"/>
      <c r="D26" s="26"/>
      <c r="E26" s="26"/>
      <c r="F26" s="26"/>
      <c r="G26" s="27"/>
      <c r="H26" s="28"/>
    </row>
    <row r="27" spans="1:8" ht="15.75" customHeight="1" x14ac:dyDescent="0.25">
      <c r="A27" s="34"/>
      <c r="B27" s="33"/>
      <c r="C27" s="26"/>
      <c r="D27" s="26"/>
      <c r="E27" s="26"/>
      <c r="F27" s="26"/>
      <c r="G27" s="27"/>
      <c r="H27" s="28"/>
    </row>
    <row r="28" spans="1:8" ht="15.75" customHeight="1" x14ac:dyDescent="0.25">
      <c r="A28" s="35" t="s">
        <v>44</v>
      </c>
      <c r="B28" s="36">
        <f>SUM(B10:B27)</f>
        <v>6</v>
      </c>
      <c r="C28" s="37"/>
      <c r="D28" s="37"/>
      <c r="E28" s="38"/>
      <c r="F28" s="39" t="s">
        <v>45</v>
      </c>
      <c r="G28" s="40"/>
      <c r="H28" s="41">
        <f>SUM(H10:H27)</f>
        <v>47209680</v>
      </c>
    </row>
    <row r="29" spans="1:8" ht="15.75" customHeight="1" x14ac:dyDescent="0.25">
      <c r="A29" s="16"/>
      <c r="B29" s="16"/>
      <c r="C29" s="16"/>
      <c r="D29" s="16"/>
      <c r="E29" s="42" t="s">
        <v>46</v>
      </c>
      <c r="F29" s="39"/>
      <c r="G29" s="17"/>
      <c r="H29" s="41">
        <f>H28*B3</f>
        <v>273816144</v>
      </c>
    </row>
    <row r="30" spans="1:8" ht="15.75" customHeight="1" x14ac:dyDescent="0.25">
      <c r="A30" s="16"/>
      <c r="B30" s="16"/>
      <c r="C30" s="16"/>
      <c r="D30" s="16"/>
      <c r="E30" s="43"/>
      <c r="F30" s="43"/>
      <c r="G30" s="43"/>
      <c r="H30" s="43"/>
    </row>
    <row r="31" spans="1:8" ht="15.75" customHeight="1" x14ac:dyDescent="0.25">
      <c r="A31" s="16"/>
      <c r="B31" s="16"/>
      <c r="C31" s="16"/>
      <c r="D31" s="16"/>
      <c r="E31" s="43"/>
      <c r="F31" s="43"/>
      <c r="G31" s="43"/>
      <c r="H31" s="43"/>
    </row>
    <row r="32" spans="1:8" ht="15.75" customHeight="1" x14ac:dyDescent="0.25">
      <c r="A32" s="16"/>
      <c r="B32" s="16"/>
      <c r="C32" s="16"/>
      <c r="D32" s="16"/>
      <c r="E32" s="16"/>
      <c r="F32" s="16"/>
      <c r="G32" s="16"/>
      <c r="H32" s="16"/>
    </row>
    <row r="33" spans="1:8" ht="15.75" customHeight="1" x14ac:dyDescent="0.25">
      <c r="A33" s="142" t="s">
        <v>47</v>
      </c>
      <c r="B33" s="135"/>
      <c r="C33" s="135"/>
      <c r="D33" s="135"/>
      <c r="E33" s="135"/>
      <c r="F33" s="16"/>
      <c r="G33" s="16"/>
      <c r="H33" s="16"/>
    </row>
    <row r="34" spans="1:8" ht="35.1" customHeight="1" x14ac:dyDescent="0.25">
      <c r="A34" s="44" t="s">
        <v>48</v>
      </c>
      <c r="B34" s="45" t="s">
        <v>49</v>
      </c>
      <c r="C34" s="46" t="s">
        <v>30</v>
      </c>
      <c r="D34" s="45" t="s">
        <v>50</v>
      </c>
      <c r="E34" s="45" t="s">
        <v>51</v>
      </c>
      <c r="F34" s="16"/>
      <c r="G34" s="16"/>
      <c r="H34" s="16"/>
    </row>
    <row r="35" spans="1:8" ht="15.75" customHeight="1" x14ac:dyDescent="0.25">
      <c r="A35" s="34" t="s">
        <v>177</v>
      </c>
      <c r="B35" s="47" t="s">
        <v>52</v>
      </c>
      <c r="C35" s="47">
        <v>6</v>
      </c>
      <c r="D35" s="47">
        <v>600000</v>
      </c>
      <c r="E35" s="48">
        <f t="shared" ref="E35:E40" si="4">C35*D35</f>
        <v>3600000</v>
      </c>
      <c r="F35" s="16"/>
      <c r="G35" s="16"/>
      <c r="H35" s="16"/>
    </row>
    <row r="36" spans="1:8" ht="15.75" customHeight="1" x14ac:dyDescent="0.25">
      <c r="A36" t="s">
        <v>178</v>
      </c>
      <c r="B36" s="47" t="s">
        <v>52</v>
      </c>
      <c r="C36" s="48">
        <v>1</v>
      </c>
      <c r="D36" s="48">
        <v>150000</v>
      </c>
      <c r="E36" s="48">
        <f t="shared" si="4"/>
        <v>150000</v>
      </c>
      <c r="F36" s="16"/>
      <c r="G36" s="16"/>
      <c r="H36" s="16"/>
    </row>
    <row r="37" spans="1:8" x14ac:dyDescent="0.25">
      <c r="A37" t="s">
        <v>179</v>
      </c>
      <c r="B37" s="47" t="s">
        <v>52</v>
      </c>
      <c r="C37" s="47">
        <v>3</v>
      </c>
      <c r="D37" s="47">
        <v>200000</v>
      </c>
      <c r="E37" s="48">
        <f t="shared" si="4"/>
        <v>600000</v>
      </c>
      <c r="F37" s="16"/>
      <c r="G37" s="16"/>
      <c r="H37" s="16"/>
    </row>
    <row r="38" spans="1:8" ht="15.75" customHeight="1" x14ac:dyDescent="0.25">
      <c r="A38" s="49" t="s">
        <v>182</v>
      </c>
      <c r="B38" s="47" t="s">
        <v>52</v>
      </c>
      <c r="C38" s="47">
        <v>2</v>
      </c>
      <c r="D38" s="47">
        <v>150000</v>
      </c>
      <c r="E38" s="48">
        <f t="shared" si="4"/>
        <v>300000</v>
      </c>
      <c r="F38" s="16"/>
      <c r="G38" s="16"/>
      <c r="H38" s="16"/>
    </row>
    <row r="39" spans="1:8" ht="15.75" customHeight="1" x14ac:dyDescent="0.25">
      <c r="A39" s="95" t="s">
        <v>183</v>
      </c>
      <c r="B39" s="47" t="s">
        <v>52</v>
      </c>
      <c r="C39" s="47">
        <v>1</v>
      </c>
      <c r="D39" s="96">
        <v>1500000</v>
      </c>
      <c r="E39" s="48">
        <f t="shared" si="4"/>
        <v>1500000</v>
      </c>
      <c r="F39" s="16"/>
      <c r="G39" s="16"/>
      <c r="H39" s="16"/>
    </row>
    <row r="40" spans="1:8" ht="15.75" customHeight="1" x14ac:dyDescent="0.25">
      <c r="A40" s="49" t="s">
        <v>180</v>
      </c>
      <c r="B40" s="47" t="s">
        <v>181</v>
      </c>
      <c r="C40" s="47">
        <v>1</v>
      </c>
      <c r="D40" s="47">
        <v>100000</v>
      </c>
      <c r="E40" s="48">
        <f t="shared" si="4"/>
        <v>100000</v>
      </c>
      <c r="F40" s="16"/>
      <c r="G40" s="16"/>
      <c r="H40" s="16"/>
    </row>
    <row r="41" spans="1:8" ht="15.75" customHeight="1" x14ac:dyDescent="0.25">
      <c r="A41" s="50"/>
      <c r="B41" s="51"/>
      <c r="C41" s="51"/>
      <c r="D41" s="52" t="s">
        <v>53</v>
      </c>
      <c r="E41" s="53">
        <f>SUM(E35:E40)</f>
        <v>6250000</v>
      </c>
      <c r="F41" s="16"/>
      <c r="G41" s="16"/>
      <c r="H41" s="16"/>
    </row>
    <row r="42" spans="1:8" ht="15.75" customHeight="1" x14ac:dyDescent="0.25">
      <c r="A42" s="16"/>
      <c r="B42" s="16"/>
      <c r="C42" s="16"/>
      <c r="D42" s="16"/>
      <c r="E42" s="16"/>
      <c r="F42" s="16"/>
      <c r="G42" s="16"/>
      <c r="H42" s="16"/>
    </row>
    <row r="43" spans="1:8" ht="7.5" customHeight="1" x14ac:dyDescent="0.25">
      <c r="A43" s="16"/>
      <c r="B43" s="16"/>
      <c r="C43" s="16"/>
      <c r="D43" s="16"/>
      <c r="E43" s="16"/>
      <c r="F43" s="16"/>
      <c r="G43" s="16"/>
      <c r="H43" s="16"/>
    </row>
    <row r="44" spans="1:8" ht="15.75" customHeight="1" x14ac:dyDescent="0.25">
      <c r="C44" s="16"/>
      <c r="D44" s="16"/>
      <c r="E44" s="16"/>
      <c r="F44" s="16"/>
      <c r="G44" s="16"/>
      <c r="H44" s="16"/>
    </row>
    <row r="45" spans="1:8" ht="15.75" customHeight="1" x14ac:dyDescent="0.25">
      <c r="A45" s="54" t="s">
        <v>54</v>
      </c>
      <c r="B45" s="54" t="s">
        <v>55</v>
      </c>
      <c r="C45" s="16"/>
      <c r="D45" s="16"/>
      <c r="E45" s="16"/>
      <c r="F45" s="16"/>
      <c r="G45" s="16"/>
      <c r="H45" s="16"/>
    </row>
    <row r="46" spans="1:8" ht="15.75" customHeight="1" x14ac:dyDescent="0.25">
      <c r="A46" s="8" t="s">
        <v>184</v>
      </c>
      <c r="B46" s="97">
        <v>7630000</v>
      </c>
      <c r="C46" s="16"/>
      <c r="D46" s="16"/>
      <c r="E46" s="16"/>
      <c r="F46" s="16"/>
      <c r="G46" s="16"/>
      <c r="H46" s="16"/>
    </row>
    <row r="47" spans="1:8" ht="15.75" customHeight="1" x14ac:dyDescent="0.25">
      <c r="A47" s="8" t="s">
        <v>184</v>
      </c>
      <c r="B47" s="97">
        <v>7630000</v>
      </c>
      <c r="C47" s="16"/>
      <c r="D47" s="16"/>
      <c r="E47" s="16"/>
      <c r="F47" s="16"/>
      <c r="G47" s="16"/>
      <c r="H47" s="16"/>
    </row>
    <row r="48" spans="1:8" ht="15.75" customHeight="1" x14ac:dyDescent="0.25">
      <c r="A48" s="55" t="s">
        <v>56</v>
      </c>
      <c r="B48" s="55">
        <f>SUM(B46:B47)</f>
        <v>15260000</v>
      </c>
      <c r="C48" s="16"/>
      <c r="D48" s="16"/>
      <c r="E48" s="16"/>
      <c r="F48" s="16"/>
      <c r="G48" s="16"/>
      <c r="H48" s="16"/>
    </row>
    <row r="49" spans="1:8" ht="15.75" customHeight="1" x14ac:dyDescent="0.25">
      <c r="C49" s="16"/>
      <c r="D49" s="16"/>
      <c r="E49" s="16"/>
      <c r="F49" s="16"/>
      <c r="G49" s="16"/>
      <c r="H49" s="16"/>
    </row>
    <row r="50" spans="1:8" ht="15.75" customHeight="1" x14ac:dyDescent="0.25">
      <c r="A50" s="56" t="s">
        <v>57</v>
      </c>
      <c r="B50" s="57">
        <f>H29</f>
        <v>273816144</v>
      </c>
      <c r="C50" s="16"/>
      <c r="D50" s="16"/>
      <c r="E50" s="16"/>
      <c r="F50" s="16"/>
      <c r="G50" s="16"/>
      <c r="H50" s="16"/>
    </row>
    <row r="51" spans="1:8" ht="15.75" customHeight="1" x14ac:dyDescent="0.25">
      <c r="A51" s="56" t="s">
        <v>47</v>
      </c>
      <c r="B51" s="58">
        <f>E41</f>
        <v>6250000</v>
      </c>
      <c r="C51" s="16"/>
      <c r="D51" s="16"/>
      <c r="E51" s="16"/>
      <c r="F51" s="16"/>
      <c r="G51" s="16"/>
      <c r="H51" s="16"/>
    </row>
    <row r="52" spans="1:8" ht="15.75" customHeight="1" x14ac:dyDescent="0.25">
      <c r="A52" s="59" t="s">
        <v>58</v>
      </c>
      <c r="B52" s="59">
        <f>B48</f>
        <v>15260000</v>
      </c>
      <c r="C52" s="16"/>
      <c r="D52" s="16"/>
      <c r="E52" s="16"/>
      <c r="F52" s="16"/>
      <c r="G52" s="16"/>
      <c r="H52" s="16"/>
    </row>
    <row r="53" spans="1:8" ht="15.75" customHeight="1" x14ac:dyDescent="0.25">
      <c r="A53" s="60" t="s">
        <v>59</v>
      </c>
      <c r="B53" s="61">
        <f>(B50+B51+B52)*B4</f>
        <v>14766307.200000001</v>
      </c>
      <c r="C53" s="16"/>
      <c r="D53" s="16"/>
      <c r="E53" s="16"/>
      <c r="F53" s="16"/>
      <c r="G53" s="16"/>
      <c r="H53" s="16"/>
    </row>
    <row r="54" spans="1:8" ht="15.75" customHeight="1" x14ac:dyDescent="0.25">
      <c r="A54" s="62" t="s">
        <v>60</v>
      </c>
      <c r="B54" s="63">
        <f>(B50+B51+B52)*0.1</f>
        <v>29532614.400000002</v>
      </c>
      <c r="C54" s="16"/>
      <c r="D54" s="16"/>
      <c r="E54" s="16"/>
      <c r="F54" s="16"/>
      <c r="G54" s="16"/>
      <c r="H54" s="16"/>
    </row>
    <row r="55" spans="1:8" ht="15.75" customHeight="1" x14ac:dyDescent="0.25">
      <c r="A55" s="64" t="s">
        <v>61</v>
      </c>
      <c r="B55" s="65">
        <f>SUM(B50:B53)</f>
        <v>310092451.19999999</v>
      </c>
      <c r="C55" s="16"/>
      <c r="D55" s="16"/>
      <c r="E55" s="16"/>
      <c r="F55" s="16"/>
      <c r="G55" s="16"/>
      <c r="H55" s="16"/>
    </row>
    <row r="56" spans="1:8" ht="15.75" customHeight="1" x14ac:dyDescent="0.25"/>
    <row r="57" spans="1:8" ht="15.75" customHeight="1" x14ac:dyDescent="0.25"/>
    <row r="58" spans="1:8" ht="15.75" customHeight="1" x14ac:dyDescent="0.25"/>
    <row r="59" spans="1:8" ht="15.75" customHeight="1" x14ac:dyDescent="0.25"/>
    <row r="60" spans="1:8" ht="15.75" customHeight="1" x14ac:dyDescent="0.25"/>
    <row r="61" spans="1:8" ht="15.75" customHeight="1" x14ac:dyDescent="0.25"/>
    <row r="62" spans="1:8" ht="15.75" customHeight="1" x14ac:dyDescent="0.25"/>
    <row r="63" spans="1:8" ht="15.75" customHeight="1" x14ac:dyDescent="0.25"/>
    <row r="64" spans="1:8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</sheetData>
  <mergeCells count="3">
    <mergeCell ref="A7:H7"/>
    <mergeCell ref="A8:H8"/>
    <mergeCell ref="A33:E33"/>
  </mergeCells>
  <dataValidations count="1">
    <dataValidation type="list" allowBlank="1" showErrorMessage="1" sqref="B35:B40" xr:uid="{00000000-0002-0000-0200-000000000000}">
      <formula1>"Directo,Indirecto"</formula1>
    </dataValidation>
  </dataValidations>
  <pageMargins left="0.7" right="0.7" top="0.75" bottom="0.75" header="0" footer="0"/>
  <pageSetup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H1002"/>
  <sheetViews>
    <sheetView topLeftCell="A25" workbookViewId="0">
      <selection activeCell="C35" sqref="C35"/>
    </sheetView>
  </sheetViews>
  <sheetFormatPr baseColWidth="10" defaultColWidth="14.42578125" defaultRowHeight="15" customHeight="1" x14ac:dyDescent="0.25"/>
  <cols>
    <col min="1" max="1" width="31.7109375" customWidth="1"/>
    <col min="3" max="3" width="18.85546875" customWidth="1"/>
    <col min="4" max="5" width="10.7109375" customWidth="1"/>
    <col min="6" max="6" width="22" customWidth="1"/>
    <col min="7" max="26" width="10.7109375" customWidth="1"/>
  </cols>
  <sheetData>
    <row r="2" spans="1:8" x14ac:dyDescent="0.25">
      <c r="F2" s="66" t="s">
        <v>62</v>
      </c>
    </row>
    <row r="3" spans="1:8" x14ac:dyDescent="0.25">
      <c r="A3" s="67"/>
      <c r="B3" s="67"/>
      <c r="C3" s="67"/>
      <c r="F3" s="68" t="s">
        <v>63</v>
      </c>
      <c r="G3" s="68">
        <v>1300000</v>
      </c>
    </row>
    <row r="4" spans="1:8" x14ac:dyDescent="0.25">
      <c r="F4" s="68" t="s">
        <v>64</v>
      </c>
      <c r="G4" s="68">
        <v>162000</v>
      </c>
      <c r="H4" s="68" t="s">
        <v>65</v>
      </c>
    </row>
    <row r="5" spans="1:8" x14ac:dyDescent="0.25">
      <c r="A5" s="143" t="s">
        <v>66</v>
      </c>
      <c r="B5" s="144"/>
      <c r="C5" s="144"/>
    </row>
    <row r="6" spans="1:8" x14ac:dyDescent="0.25">
      <c r="A6" s="69" t="s">
        <v>67</v>
      </c>
      <c r="B6" s="69" t="s">
        <v>68</v>
      </c>
      <c r="C6" s="69" t="s">
        <v>69</v>
      </c>
    </row>
    <row r="7" spans="1:8" x14ac:dyDescent="0.25">
      <c r="A7" s="70" t="s">
        <v>70</v>
      </c>
      <c r="B7" s="8"/>
      <c r="C7" s="9">
        <v>180</v>
      </c>
    </row>
    <row r="8" spans="1:8" x14ac:dyDescent="0.25">
      <c r="A8" s="70" t="s">
        <v>71</v>
      </c>
      <c r="B8" s="8"/>
      <c r="C8" s="9">
        <v>2600000</v>
      </c>
    </row>
    <row r="9" spans="1:8" x14ac:dyDescent="0.25">
      <c r="A9" s="70" t="s">
        <v>64</v>
      </c>
      <c r="B9" s="71" t="s">
        <v>43</v>
      </c>
      <c r="C9" s="9">
        <v>0</v>
      </c>
    </row>
    <row r="10" spans="1:8" x14ac:dyDescent="0.25">
      <c r="A10" s="70" t="s">
        <v>72</v>
      </c>
      <c r="B10" s="8"/>
      <c r="C10" s="9">
        <f>SUM(C8:C9)</f>
        <v>2600000</v>
      </c>
    </row>
    <row r="11" spans="1:8" x14ac:dyDescent="0.25">
      <c r="A11" s="70"/>
      <c r="B11" s="8"/>
      <c r="C11" s="9"/>
    </row>
    <row r="12" spans="1:8" x14ac:dyDescent="0.25">
      <c r="A12" s="70" t="s">
        <v>73</v>
      </c>
      <c r="B12" s="72">
        <v>8.3299999999999999E-2</v>
      </c>
      <c r="C12" s="9">
        <f>C$8*B12</f>
        <v>216580</v>
      </c>
    </row>
    <row r="13" spans="1:8" x14ac:dyDescent="0.25">
      <c r="A13" s="70" t="s">
        <v>74</v>
      </c>
      <c r="B13" s="72">
        <v>8.3299999999999999E-2</v>
      </c>
      <c r="C13" s="9">
        <f>C$8*B13</f>
        <v>216580</v>
      </c>
    </row>
    <row r="14" spans="1:8" x14ac:dyDescent="0.25">
      <c r="A14" s="70" t="s">
        <v>75</v>
      </c>
      <c r="B14" s="72">
        <v>1.1999999999999999E-3</v>
      </c>
      <c r="C14" s="9">
        <f>C$8*B14</f>
        <v>3119.9999999999995</v>
      </c>
    </row>
    <row r="15" spans="1:8" x14ac:dyDescent="0.25">
      <c r="A15" s="70" t="s">
        <v>76</v>
      </c>
      <c r="B15" s="71">
        <v>4.1669999999999999E-2</v>
      </c>
      <c r="C15" s="9">
        <f>C$8*B15</f>
        <v>108342</v>
      </c>
    </row>
    <row r="16" spans="1:8" x14ac:dyDescent="0.25">
      <c r="A16" s="70"/>
      <c r="B16" s="8"/>
      <c r="C16" s="9"/>
    </row>
    <row r="17" spans="1:3" x14ac:dyDescent="0.25">
      <c r="A17" s="70" t="s">
        <v>77</v>
      </c>
      <c r="B17" s="71">
        <f>SUM(B12:B15)</f>
        <v>0.20946999999999999</v>
      </c>
      <c r="C17" s="9">
        <f>SUM(C12:C16)</f>
        <v>544622</v>
      </c>
    </row>
    <row r="18" spans="1:3" x14ac:dyDescent="0.25">
      <c r="A18" s="70"/>
      <c r="B18" s="8"/>
      <c r="C18" s="9"/>
    </row>
    <row r="19" spans="1:3" x14ac:dyDescent="0.25">
      <c r="A19" s="70" t="s">
        <v>78</v>
      </c>
      <c r="B19" s="72">
        <v>8.5000000000000006E-2</v>
      </c>
      <c r="C19" s="9">
        <f>C$8*B19</f>
        <v>221000.00000000003</v>
      </c>
    </row>
    <row r="20" spans="1:3" x14ac:dyDescent="0.25">
      <c r="A20" s="70" t="s">
        <v>79</v>
      </c>
      <c r="B20" s="72">
        <v>0.12</v>
      </c>
      <c r="C20" s="9">
        <f>C$8*B20</f>
        <v>312000</v>
      </c>
    </row>
    <row r="21" spans="1:3" ht="15.75" customHeight="1" x14ac:dyDescent="0.25">
      <c r="A21" s="70" t="s">
        <v>80</v>
      </c>
      <c r="B21" s="72">
        <v>0.09</v>
      </c>
      <c r="C21" s="9">
        <f>C$8*B21</f>
        <v>234000</v>
      </c>
    </row>
    <row r="22" spans="1:3" ht="15.75" customHeight="1" x14ac:dyDescent="0.25">
      <c r="A22" s="70" t="s">
        <v>81</v>
      </c>
      <c r="B22" s="72">
        <v>5.2199999999999998E-3</v>
      </c>
      <c r="C22" s="9">
        <f>C$8*B22</f>
        <v>13572</v>
      </c>
    </row>
    <row r="23" spans="1:3" ht="15.75" customHeight="1" x14ac:dyDescent="0.25">
      <c r="A23" s="70"/>
      <c r="B23" s="8"/>
      <c r="C23" s="8"/>
    </row>
    <row r="24" spans="1:3" ht="15.75" customHeight="1" x14ac:dyDescent="0.25">
      <c r="A24" s="70" t="s">
        <v>82</v>
      </c>
      <c r="B24" s="72">
        <f>SUM(B19:B23)</f>
        <v>0.30022000000000004</v>
      </c>
      <c r="C24" s="9">
        <f>SUM(C19:C23)</f>
        <v>780572</v>
      </c>
    </row>
    <row r="25" spans="1:3" ht="15.75" customHeight="1" x14ac:dyDescent="0.25">
      <c r="A25" s="70"/>
      <c r="B25" s="8"/>
      <c r="C25" s="8"/>
    </row>
    <row r="26" spans="1:3" ht="15.75" customHeight="1" x14ac:dyDescent="0.25">
      <c r="A26" s="70" t="s">
        <v>83</v>
      </c>
      <c r="B26" s="8"/>
      <c r="C26" s="73">
        <f>C10+C17+C24</f>
        <v>3925194</v>
      </c>
    </row>
    <row r="27" spans="1:3" ht="15.75" customHeight="1" x14ac:dyDescent="0.25">
      <c r="A27" s="70" t="s">
        <v>84</v>
      </c>
      <c r="B27" s="8"/>
      <c r="C27" s="73">
        <f>C26*12</f>
        <v>47102328</v>
      </c>
    </row>
    <row r="28" spans="1:3" ht="15.75" customHeight="1" x14ac:dyDescent="0.25">
      <c r="A28" s="70" t="s">
        <v>85</v>
      </c>
      <c r="B28" s="8"/>
      <c r="C28" s="73">
        <f>C26/C7</f>
        <v>21806.633333333335</v>
      </c>
    </row>
    <row r="29" spans="1:3" ht="15.75" customHeight="1" x14ac:dyDescent="0.25">
      <c r="A29" s="67"/>
      <c r="B29" s="67"/>
      <c r="C29" s="67"/>
    </row>
    <row r="30" spans="1:3" ht="15.75" customHeight="1" x14ac:dyDescent="0.25">
      <c r="A30" s="67"/>
      <c r="B30" s="67"/>
      <c r="C30" s="67"/>
    </row>
    <row r="31" spans="1:3" ht="15.75" customHeight="1" x14ac:dyDescent="0.25">
      <c r="A31" s="74"/>
      <c r="B31" s="75"/>
      <c r="C31" s="67"/>
    </row>
    <row r="32" spans="1:3" ht="15.75" customHeight="1" x14ac:dyDescent="0.25">
      <c r="A32" s="74"/>
      <c r="B32" s="75"/>
      <c r="C32" s="67"/>
    </row>
    <row r="33" spans="1:3" ht="15.75" customHeight="1" x14ac:dyDescent="0.25">
      <c r="A33" s="76" t="s">
        <v>86</v>
      </c>
      <c r="B33" s="9">
        <v>124</v>
      </c>
      <c r="C33" s="67"/>
    </row>
    <row r="34" spans="1:3" ht="15.75" customHeight="1" x14ac:dyDescent="0.25">
      <c r="A34" s="76" t="s">
        <v>87</v>
      </c>
      <c r="B34" s="9">
        <v>40</v>
      </c>
      <c r="C34" s="67"/>
    </row>
    <row r="35" spans="1:3" ht="15.75" customHeight="1" x14ac:dyDescent="0.25">
      <c r="A35" s="77" t="s">
        <v>88</v>
      </c>
      <c r="B35" s="78">
        <f>Presupuesto!H28</f>
        <v>47209680</v>
      </c>
    </row>
    <row r="36" spans="1:3" ht="15.75" customHeight="1" x14ac:dyDescent="0.25">
      <c r="A36" s="77" t="s">
        <v>89</v>
      </c>
      <c r="B36" s="78">
        <f>B35/B34</f>
        <v>1180242</v>
      </c>
    </row>
    <row r="37" spans="1:3" ht="15.75" customHeight="1" x14ac:dyDescent="0.25">
      <c r="A37" s="77" t="s">
        <v>90</v>
      </c>
      <c r="B37" s="78">
        <f>B33*B36</f>
        <v>146350008</v>
      </c>
    </row>
    <row r="38" spans="1:3" ht="15.75" customHeight="1" x14ac:dyDescent="0.25"/>
    <row r="39" spans="1:3" ht="15.75" customHeight="1" x14ac:dyDescent="0.25"/>
    <row r="40" spans="1:3" ht="15.75" customHeight="1" x14ac:dyDescent="0.25"/>
    <row r="41" spans="1:3" ht="15.75" customHeight="1" x14ac:dyDescent="0.25"/>
    <row r="42" spans="1:3" ht="15.75" customHeight="1" x14ac:dyDescent="0.25"/>
    <row r="43" spans="1:3" ht="15.75" customHeight="1" x14ac:dyDescent="0.25"/>
    <row r="44" spans="1:3" ht="15.75" customHeight="1" x14ac:dyDescent="0.25"/>
    <row r="45" spans="1:3" ht="15.75" customHeight="1" x14ac:dyDescent="0.25"/>
    <row r="46" spans="1:3" ht="15.75" customHeight="1" x14ac:dyDescent="0.25"/>
    <row r="47" spans="1:3" ht="15.75" customHeight="1" x14ac:dyDescent="0.25"/>
    <row r="48" spans="1: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1">
    <mergeCell ref="A5:C5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Estimar CostosxHora</vt:lpstr>
      <vt:lpstr>Hoja2</vt:lpstr>
      <vt:lpstr>Presupuesto</vt:lpstr>
      <vt:lpstr>costo por recurso o punto de 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JOSE GIOVANNY NASPUCIL TORRES</cp:lastModifiedBy>
  <dcterms:created xsi:type="dcterms:W3CDTF">2008-07-30T16:49:19Z</dcterms:created>
  <dcterms:modified xsi:type="dcterms:W3CDTF">2026-05-22T00:10:49Z</dcterms:modified>
</cp:coreProperties>
</file>