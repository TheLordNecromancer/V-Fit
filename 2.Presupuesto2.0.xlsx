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NG Software\V-fit\"/>
    </mc:Choice>
  </mc:AlternateContent>
  <xr:revisionPtr revIDLastSave="0" documentId="13_ncr:1_{30828F0B-7EF4-4450-8A6F-28096D5545E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stimar por puntos de historia" sheetId="2" r:id="rId1"/>
    <sheet name="Estimar CostosxHora" sheetId="1" r:id="rId2"/>
    <sheet name="Presupuesto" sheetId="3" state="hidden" r:id="rId3"/>
    <sheet name="costo por recurso o punto de H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" l="1"/>
  <c r="F26" i="2"/>
  <c r="F25" i="2"/>
  <c r="F24" i="2"/>
  <c r="F23" i="2"/>
  <c r="F3" i="2"/>
  <c r="F22" i="2"/>
  <c r="F21" i="2"/>
  <c r="F20" i="2"/>
  <c r="F19" i="2"/>
  <c r="F18" i="2"/>
  <c r="F17" i="2"/>
  <c r="G23" i="2" l="1"/>
  <c r="G17" i="2"/>
  <c r="M33" i="1"/>
  <c r="L33" i="1"/>
  <c r="M32" i="1"/>
  <c r="L32" i="1"/>
  <c r="M31" i="1"/>
  <c r="L31" i="1"/>
  <c r="N31" i="1" s="1"/>
  <c r="P31" i="1" s="1"/>
  <c r="R31" i="1" s="1"/>
  <c r="M30" i="1"/>
  <c r="L30" i="1"/>
  <c r="M29" i="1"/>
  <c r="L29" i="1"/>
  <c r="M28" i="1"/>
  <c r="L28" i="1"/>
  <c r="M27" i="1"/>
  <c r="L27" i="1"/>
  <c r="M26" i="1"/>
  <c r="L26" i="1"/>
  <c r="M25" i="1"/>
  <c r="L25" i="1"/>
  <c r="N25" i="1" s="1"/>
  <c r="P25" i="1" s="1"/>
  <c r="R25" i="1" s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L16" i="1"/>
  <c r="M16" i="1"/>
  <c r="L6" i="1"/>
  <c r="N33" i="1" l="1"/>
  <c r="P33" i="1" s="1"/>
  <c r="R33" i="1" s="1"/>
  <c r="N18" i="1"/>
  <c r="P18" i="1" s="1"/>
  <c r="R18" i="1" s="1"/>
  <c r="N22" i="1"/>
  <c r="P22" i="1" s="1"/>
  <c r="R22" i="1" s="1"/>
  <c r="N24" i="1"/>
  <c r="P24" i="1" s="1"/>
  <c r="R24" i="1" s="1"/>
  <c r="N26" i="1"/>
  <c r="P26" i="1" s="1"/>
  <c r="R26" i="1" s="1"/>
  <c r="N28" i="1"/>
  <c r="P28" i="1" s="1"/>
  <c r="R28" i="1" s="1"/>
  <c r="N30" i="1"/>
  <c r="P30" i="1" s="1"/>
  <c r="R30" i="1" s="1"/>
  <c r="N32" i="1"/>
  <c r="P32" i="1" s="1"/>
  <c r="R32" i="1" s="1"/>
  <c r="N29" i="1"/>
  <c r="P29" i="1" s="1"/>
  <c r="R29" i="1" s="1"/>
  <c r="N27" i="1"/>
  <c r="P27" i="1" s="1"/>
  <c r="R27" i="1" s="1"/>
  <c r="N17" i="1"/>
  <c r="P17" i="1" s="1"/>
  <c r="R17" i="1" s="1"/>
  <c r="N19" i="1"/>
  <c r="P19" i="1" s="1"/>
  <c r="R19" i="1" s="1"/>
  <c r="N21" i="1"/>
  <c r="P21" i="1" s="1"/>
  <c r="R21" i="1" s="1"/>
  <c r="N23" i="1"/>
  <c r="P23" i="1" s="1"/>
  <c r="R23" i="1" s="1"/>
  <c r="N20" i="1"/>
  <c r="P20" i="1" s="1"/>
  <c r="R20" i="1" s="1"/>
  <c r="N16" i="1"/>
  <c r="P16" i="1" s="1"/>
  <c r="R16" i="1" s="1"/>
  <c r="E16" i="3"/>
  <c r="F16" i="3" s="1"/>
  <c r="G16" i="3" s="1"/>
  <c r="S23" i="1" l="1"/>
  <c r="S29" i="1"/>
  <c r="S17" i="1"/>
  <c r="H16" i="3"/>
  <c r="B24" i="4"/>
  <c r="C22" i="4"/>
  <c r="C21" i="4"/>
  <c r="C20" i="4"/>
  <c r="C19" i="4"/>
  <c r="B17" i="4"/>
  <c r="C15" i="4"/>
  <c r="C14" i="4"/>
  <c r="C13" i="4"/>
  <c r="C12" i="4"/>
  <c r="C10" i="4"/>
  <c r="B48" i="3"/>
  <c r="B52" i="3" s="1"/>
  <c r="E40" i="3"/>
  <c r="E39" i="3"/>
  <c r="E38" i="3"/>
  <c r="E37" i="3"/>
  <c r="E36" i="3"/>
  <c r="E35" i="3"/>
  <c r="B28" i="3"/>
  <c r="E15" i="3"/>
  <c r="F15" i="3" s="1"/>
  <c r="H15" i="3" s="1"/>
  <c r="E14" i="3"/>
  <c r="F14" i="3" s="1"/>
  <c r="E13" i="3"/>
  <c r="F13" i="3" s="1"/>
  <c r="E12" i="3"/>
  <c r="F12" i="3" s="1"/>
  <c r="H12" i="3" s="1"/>
  <c r="E11" i="3"/>
  <c r="F11" i="3" s="1"/>
  <c r="E10" i="3"/>
  <c r="F10" i="3" s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N6" i="1" s="1"/>
  <c r="P6" i="1" s="1"/>
  <c r="R6" i="1" s="1"/>
  <c r="M5" i="1"/>
  <c r="L5" i="1"/>
  <c r="M4" i="1"/>
  <c r="L4" i="1"/>
  <c r="M3" i="1"/>
  <c r="L3" i="1"/>
  <c r="G3" i="2" l="1"/>
  <c r="C17" i="4"/>
  <c r="C24" i="4"/>
  <c r="N3" i="1"/>
  <c r="C26" i="4"/>
  <c r="G11" i="2"/>
  <c r="N8" i="1"/>
  <c r="N10" i="1"/>
  <c r="P10" i="1" s="1"/>
  <c r="R10" i="1" s="1"/>
  <c r="E41" i="3"/>
  <c r="B51" i="3" s="1"/>
  <c r="N11" i="1"/>
  <c r="P11" i="1" s="1"/>
  <c r="R11" i="1" s="1"/>
  <c r="N13" i="1"/>
  <c r="P13" i="1" s="1"/>
  <c r="R13" i="1" s="1"/>
  <c r="N5" i="1"/>
  <c r="P5" i="1" s="1"/>
  <c r="R5" i="1" s="1"/>
  <c r="N14" i="1"/>
  <c r="P14" i="1" s="1"/>
  <c r="R14" i="1" s="1"/>
  <c r="N9" i="1"/>
  <c r="P9" i="1" s="1"/>
  <c r="R9" i="1" s="1"/>
  <c r="N15" i="1"/>
  <c r="P15" i="1" s="1"/>
  <c r="R15" i="1" s="1"/>
  <c r="P3" i="1"/>
  <c r="R3" i="1" s="1"/>
  <c r="N4" i="1"/>
  <c r="P4" i="1" s="1"/>
  <c r="R4" i="1" s="1"/>
  <c r="N7" i="1"/>
  <c r="P7" i="1" s="1"/>
  <c r="R7" i="1" s="1"/>
  <c r="N12" i="1"/>
  <c r="P12" i="1" s="1"/>
  <c r="R12" i="1" s="1"/>
  <c r="C28" i="4"/>
  <c r="C27" i="4"/>
  <c r="H11" i="3"/>
  <c r="G11" i="3"/>
  <c r="H14" i="3"/>
  <c r="G14" i="3"/>
  <c r="H10" i="3"/>
  <c r="G10" i="3"/>
  <c r="H13" i="3"/>
  <c r="G13" i="3"/>
  <c r="G12" i="3"/>
  <c r="G15" i="3"/>
  <c r="G28" i="2" l="1"/>
  <c r="P8" i="1"/>
  <c r="R8" i="1" s="1"/>
  <c r="S3" i="1" s="1"/>
  <c r="S9" i="1"/>
  <c r="H28" i="3"/>
  <c r="S34" i="1" l="1"/>
  <c r="B35" i="4"/>
  <c r="H29" i="3"/>
  <c r="B50" i="3" s="1"/>
  <c r="B36" i="4" l="1"/>
  <c r="B37" i="4" s="1"/>
  <c r="B54" i="3"/>
  <c r="B53" i="3"/>
  <c r="B5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6" authorId="0" shapeId="0" xr:uid="{00000000-0006-0000-0200-000001000000}">
      <text>
        <r>
          <rPr>
            <sz val="11"/>
            <color rgb="FF000000"/>
            <rFont val="Calibri"/>
            <family val="2"/>
          </rPr>
          <t>Cubrir horas extra de desarrollo en caso de bloqueos por no tener dominio total sobre las tecnologías de superposición 3D (Debilidad 1), o ante fallos críticos que superen el límite de 5 horas diarias de trabajo (Debilidad 2).</t>
        </r>
      </text>
    </comment>
    <comment ref="B50" authorId="0" shapeId="0" xr:uid="{00000000-0006-0000-0200-000002000000}">
      <text>
        <r>
          <rPr>
            <sz val="11"/>
            <color rgb="FF000000"/>
            <rFont val="Calibri"/>
            <family val="2"/>
          </rPr>
          <t xml:space="preserve">Se puede usar el valor obtenido de los paquetes de trabajo o módulos, en vez de la tabla de la nómina cuando se ha calculado el costo de la hora por recurso
</t>
        </r>
        <r>
          <rPr>
            <sz val="11"/>
            <color rgb="FF000000"/>
            <rFont val="Calibri"/>
            <family val="2"/>
          </rPr>
          <t>======</t>
        </r>
      </text>
    </comment>
    <comment ref="A53" authorId="0" shapeId="0" xr:uid="{00000000-0006-0000-0200-000003000000}">
      <text>
        <r>
          <rPr>
            <sz val="11"/>
            <color rgb="FF000000"/>
            <rFont val="Calibri"/>
            <family val="2"/>
          </rPr>
          <t xml:space="preserve">Puede estar entre el 5 y 10 % del costo total del proyecto.
</t>
        </r>
        <r>
          <rPr>
            <sz val="11"/>
            <color rgb="FF000000"/>
            <rFont val="Calibri"/>
            <family val="2"/>
          </rPr>
          <t xml:space="preserve">Para lo que se llama imprevistos, riesgos no conocidos.
</t>
        </r>
        <r>
          <rPr>
            <sz val="11"/>
            <color rgb="FF000000"/>
            <rFont val="Calibri"/>
            <family val="2"/>
          </rPr>
          <t xml:space="preserve">Por ejemplo:
</t>
        </r>
        <r>
          <rPr>
            <sz val="11"/>
            <color rgb="FF000000"/>
            <rFont val="Calibri"/>
            <family val="2"/>
          </rPr>
          <t xml:space="preserve">10% del valor del proyecto para enfrentar posibles problemas técnicos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======</t>
        </r>
      </text>
    </comment>
  </commentList>
</comments>
</file>

<file path=xl/sharedStrings.xml><?xml version="1.0" encoding="utf-8"?>
<sst xmlns="http://schemas.openxmlformats.org/spreadsheetml/2006/main" count="298" uniqueCount="185">
  <si>
    <t xml:space="preserve">PLANTILLA DE AYUDA PARA COSTOS  </t>
  </si>
  <si>
    <t>PLANTILLA COSTOS</t>
  </si>
  <si>
    <t>Módulo / Épica</t>
  </si>
  <si>
    <t xml:space="preserve">Id. Act </t>
  </si>
  <si>
    <t>Actividad /Tarea</t>
  </si>
  <si>
    <t>Tipo de recurso (Personal, Materiales, Equipo)</t>
  </si>
  <si>
    <t xml:space="preserve">Recursos </t>
  </si>
  <si>
    <t>Disponibilidad  de Cada Recurso ( Capacidad Maxima por día) (%,horas)</t>
  </si>
  <si>
    <t>p</t>
  </si>
  <si>
    <t>m</t>
  </si>
  <si>
    <t>o</t>
  </si>
  <si>
    <t>Desviación (p-0)/6</t>
  </si>
  <si>
    <t>Duración de  actividad(esfuerzo en horas)</t>
  </si>
  <si>
    <t>Capacidad Máxima (% Horas¨dia)</t>
  </si>
  <si>
    <t>Disponibilidad Recurso Horas al dia</t>
  </si>
  <si>
    <t>Costo recurso por hora</t>
  </si>
  <si>
    <t>Costo por actividad</t>
  </si>
  <si>
    <t>costo por W.P</t>
  </si>
  <si>
    <t>PLANTILLA DE AYUDA PARA ESTIMACIÓN</t>
  </si>
  <si>
    <t>HU</t>
  </si>
  <si>
    <t>Punto de historia</t>
  </si>
  <si>
    <t>Costo punto de historia</t>
  </si>
  <si>
    <t>costo por Módulo/Épica</t>
  </si>
  <si>
    <t>INDEMNIZACIONES</t>
  </si>
  <si>
    <t>DURACIÓN DEL PROYECTO MESES</t>
  </si>
  <si>
    <t>RESERVA GERENCIAL</t>
  </si>
  <si>
    <t>HORAS A TRABAJAR POR MES</t>
  </si>
  <si>
    <t>Alternativa Esquema Actual</t>
  </si>
  <si>
    <t>NOMINA</t>
  </si>
  <si>
    <t>CARGO</t>
  </si>
  <si>
    <t>CANTIDAD</t>
  </si>
  <si>
    <t>SALARIO</t>
  </si>
  <si>
    <t>INCENTIVOS</t>
  </si>
  <si>
    <t>PRESTACIONES</t>
  </si>
  <si>
    <t>COSTO + INDEM</t>
  </si>
  <si>
    <t>COSTO HORA</t>
  </si>
  <si>
    <t>COSTO MENSUAL</t>
  </si>
  <si>
    <t>Desarrollador junior</t>
  </si>
  <si>
    <t>Arquitecto</t>
  </si>
  <si>
    <t>Gerente de proyectos</t>
  </si>
  <si>
    <t>DevOps</t>
  </si>
  <si>
    <t>UX Designer</t>
  </si>
  <si>
    <t>QA</t>
  </si>
  <si>
    <t xml:space="preserve"> </t>
  </si>
  <si>
    <t>Cantidad de personal</t>
  </si>
  <si>
    <t>ESTIMADO MENSUAL</t>
  </si>
  <si>
    <t xml:space="preserve"> TOTAL ESTIMADO PROYECTO</t>
  </si>
  <si>
    <t>OTROS COSTOS</t>
  </si>
  <si>
    <t>ITEM</t>
  </si>
  <si>
    <t>TIPO(Directo/Indirecto)</t>
  </si>
  <si>
    <t>COSTO  UNITARIO</t>
  </si>
  <si>
    <t>COSTO TOTAL</t>
  </si>
  <si>
    <t>Directo</t>
  </si>
  <si>
    <t xml:space="preserve">TOTAL OTROS COSTOS </t>
  </si>
  <si>
    <t>TIPO DE RESERVA CONTINGENCIA</t>
  </si>
  <si>
    <t>VALOR</t>
  </si>
  <si>
    <t>TOTAL DE LA RESERVA  CONTINGENCIA</t>
  </si>
  <si>
    <t>ESTIMADO RECURSO HUMANO</t>
  </si>
  <si>
    <t xml:space="preserve">COSTO DE LA RESERVA DE CONTINGENCIA </t>
  </si>
  <si>
    <t xml:space="preserve">COSTO DE RESERVA GERENCIAL (       5   %) </t>
  </si>
  <si>
    <t>UTILIDAD (%10)</t>
  </si>
  <si>
    <t xml:space="preserve">COSTO DEL PRESUPUESTO DEL PROYECTO </t>
  </si>
  <si>
    <t>Datos a tener en cuenta</t>
  </si>
  <si>
    <t>Salario mínimo 2024</t>
  </si>
  <si>
    <t>Subsidio de transporte</t>
  </si>
  <si>
    <t>Hasta dos salarios mínimos</t>
  </si>
  <si>
    <t>Inversión mensual por trabajador</t>
  </si>
  <si>
    <t>Concepto</t>
  </si>
  <si>
    <t>%</t>
  </si>
  <si>
    <t>Monto</t>
  </si>
  <si>
    <t>Horas trabajadas mensuales</t>
  </si>
  <si>
    <t>Salario base</t>
  </si>
  <si>
    <t>Salario Mensual</t>
  </si>
  <si>
    <t>Prima Legal</t>
  </si>
  <si>
    <t>Cesantias</t>
  </si>
  <si>
    <t>Intereses a las cesantias</t>
  </si>
  <si>
    <t>Vacaciones</t>
  </si>
  <si>
    <t>Total prestaciones</t>
  </si>
  <si>
    <t>Aportes a salud</t>
  </si>
  <si>
    <t>Aportes a pensión</t>
  </si>
  <si>
    <t>Parafiscales</t>
  </si>
  <si>
    <t>ARL Riesgo Administrativo</t>
  </si>
  <si>
    <t>Total Aportes</t>
  </si>
  <si>
    <t>Total Mensual</t>
  </si>
  <si>
    <t>Total Anual</t>
  </si>
  <si>
    <t>Total Hora</t>
  </si>
  <si>
    <t>Total puntos de historia proyecto</t>
  </si>
  <si>
    <t>Puntos de historia por mes</t>
  </si>
  <si>
    <t>Costo del equipo por mes</t>
  </si>
  <si>
    <t>Valor del punto de historia por mes</t>
  </si>
  <si>
    <t>Valor del esfuerzo</t>
  </si>
  <si>
    <t>Product Owner</t>
  </si>
  <si>
    <t>Personal</t>
  </si>
  <si>
    <t>Esfuerzo (pert) horas</t>
  </si>
  <si>
    <t>HU-01</t>
  </si>
  <si>
    <t>Aceptación de términos de privacidad de datos biométricos.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</si>
  <si>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</si>
  <si>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</si>
  <si>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</si>
  <si>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</si>
  <si>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</si>
  <si>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</si>
  <si>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</si>
  <si>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</si>
  <si>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</si>
  <si>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</si>
  <si>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</si>
  <si>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</si>
  <si>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Ingeniería de Requisitos</t>
  </si>
  <si>
    <t>REQ-01</t>
  </si>
  <si>
    <t>REQ-02</t>
  </si>
  <si>
    <t>REQ-03</t>
  </si>
  <si>
    <t>REQ-04</t>
  </si>
  <si>
    <t>REQ-05</t>
  </si>
  <si>
    <t>REQ-06</t>
  </si>
  <si>
    <t>Realizar entrevistas a administradores de tiendas para identificar problemas de devoluciones.</t>
  </si>
  <si>
    <t>Distribuir y analizar cuestionarios del grupo focal de compradores frecuentes.</t>
  </si>
  <si>
    <t>Estructurar el contexto del proyecto (Negocio, Uso, Desarrollo, TI).</t>
  </si>
  <si>
    <t>Ejecutar pruebas de escritorio para comprobar omisiones en las historias.</t>
  </si>
  <si>
    <t>Redactar, analizar y especificar las Historias de Usuario.</t>
  </si>
  <si>
    <t>Facilitar reuniones de recorridos  técnicos con el Dev Team.</t>
  </si>
  <si>
    <t>Samuel Gómez (PO)</t>
  </si>
  <si>
    <t>Nicolás Villegas (PO)</t>
  </si>
  <si>
    <t>Samuel G. y Nicolás V. (POs)</t>
  </si>
  <si>
    <t>Sebastián Rodríguez (SM)</t>
  </si>
  <si>
    <t>Épica 1</t>
  </si>
  <si>
    <t>HU-02</t>
  </si>
  <si>
    <t xml:space="preserve">Botón para abrir interfaz "Probar en 3D" en el e-commerce. </t>
  </si>
  <si>
    <t>Uso de la cámara web para capturar fotos de frente y perfil.</t>
  </si>
  <si>
    <t>Tutorial visual para posicionamiento correcto de cámara</t>
  </si>
  <si>
    <t>Ingreso manual de medidas antropométricas por formulario.</t>
  </si>
  <si>
    <t>Alerta de mala calidad de luz/ángulo en la fotografía.</t>
  </si>
  <si>
    <t>Creación de cuenta rápida para no repetir toma de fotos.</t>
  </si>
  <si>
    <t>José Naspucil(Devs)</t>
  </si>
  <si>
    <t>Samuel Ocampo(Devs)</t>
  </si>
  <si>
    <t>Diego Izquierdo(Devs)</t>
  </si>
  <si>
    <t>Épica 2</t>
  </si>
  <si>
    <t>HU-15</t>
  </si>
  <si>
    <t>HU-16</t>
  </si>
  <si>
    <t>Épica 3</t>
  </si>
  <si>
    <t>Observar el avatar 3D vistiendo la prenda seleccionada.</t>
  </si>
  <si>
    <t xml:space="preserve"> Rotación 360 grados del avatar con el mouse o dedo.</t>
  </si>
  <si>
    <t>Alternar dinámicamente entre tallas disponibles (S, M, L)</t>
  </si>
  <si>
    <t>Sugerencia automática de talla ideal basada en medidas.</t>
  </si>
  <si>
    <t>Botón para cerrar plugin y añadir producto al carrito principal.</t>
  </si>
  <si>
    <t>Opción de eliminar avatar y datos biométricos del sistema</t>
  </si>
  <si>
    <t>HU-17</t>
  </si>
  <si>
    <t>HU-18</t>
  </si>
  <si>
    <t>HU-19</t>
  </si>
  <si>
    <t>HU-20</t>
  </si>
  <si>
    <t>Panel de control básico para la tienda asociada (B2B).</t>
  </si>
  <si>
    <t xml:space="preserve"> Cargar imágenes, videos y tabla de medidas de la prenda.</t>
  </si>
  <si>
    <t xml:space="preserve">Menú de selección de tipo de tela (algodón, seda, etc.). </t>
  </si>
  <si>
    <t xml:space="preserve"> Visualización en "avatar maniquí" de prueba interno B2B.</t>
  </si>
  <si>
    <t xml:space="preserve"> Crear fragmento de código (Snippet/API) para integración web</t>
  </si>
  <si>
    <t xml:space="preserve">Tablero de estadísticas de conversión para tiendas B2B. </t>
  </si>
  <si>
    <t>Épica 4</t>
  </si>
  <si>
    <t>HU-21</t>
  </si>
  <si>
    <t>HU-22</t>
  </si>
  <si>
    <t>HU-23</t>
  </si>
  <si>
    <t>HU-24</t>
  </si>
  <si>
    <t>HU-25</t>
  </si>
  <si>
    <t>Panel técnico de monitoreo de carga en el servidor.</t>
  </si>
  <si>
    <t>Registrar, habilitar o deshabilitar cuentas de tiendas B2B.</t>
  </si>
  <si>
    <t xml:space="preserve">Conexiones por protocolos seguros para evitar intercepción. </t>
  </si>
  <si>
    <t xml:space="preserve"> Script automático para borrar avatares inactivos por meses.</t>
  </si>
  <si>
    <t xml:space="preserve"> Script para respaldo (backup) diario automatizado.</t>
  </si>
  <si>
    <t xml:space="preserve">  </t>
  </si>
  <si>
    <t>1. Captura 3D</t>
  </si>
  <si>
    <t>2. Experiencia</t>
  </si>
  <si>
    <t>Aceptación de términos de privacidad biométricos.</t>
  </si>
  <si>
    <t>3. Integración</t>
  </si>
  <si>
    <r>
      <t xml:space="preserve"> </t>
    </r>
    <r>
      <rPr>
        <sz val="9"/>
        <color rgb="FF000000"/>
        <rFont val="Calibri"/>
        <family val="2"/>
      </rPr>
      <t>Cargar imágenes, videos y tabla de medidas de la prenda.</t>
    </r>
  </si>
  <si>
    <t>Visualización en "avatar maniquí" de prueba interno B2B.</t>
  </si>
  <si>
    <t>Crear fragmento de código (Snippet/API) para integración web</t>
  </si>
  <si>
    <t>4. GestiónNube</t>
  </si>
  <si>
    <t>Script automático para borrar avatares inactivos por meses.</t>
  </si>
  <si>
    <t>Alquiler Computadores Portátiles.</t>
  </si>
  <si>
    <t>Hosting y dominio web</t>
  </si>
  <si>
    <t>Licencias para herramientas de desarrollo y APIs</t>
  </si>
  <si>
    <t>Kit papelería para ceremonias Scrum (Post-its, marcadores)</t>
  </si>
  <si>
    <t>Indirecto</t>
  </si>
  <si>
    <t>Auxilio de transporte para visitas a tiendas B2B</t>
  </si>
  <si>
    <t>Servidor en la nube (AWS) para renderizado 3D y BD (6 meses)</t>
  </si>
  <si>
    <t xml:space="preserve">Aumento en el valor de servicio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</si>
</sst>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_ ;_ &quot;$&quot;\ * \-#,##0_ ;_ &quot;$&quot;\ * &quot;-&quot;??_ ;_ @_ "/>
    <numFmt numFmtId="165" formatCode="_ * #,##0_ ;_ * \-#,##0_ ;_ * &quot;-&quot;??_ ;_ @_ "/>
    <numFmt numFmtId="166" formatCode="_ * #,##0.0_ ;_ * \-#,##0.0_ ;_ * &quot;-&quot;??_ ;_ @_ "/>
    <numFmt numFmtId="167" formatCode="0.000%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9"/>
      <color rgb="FFFFFFFF"/>
      <name val="Calibri"/>
      <family val="2"/>
    </font>
    <font>
      <b/>
      <sz val="6"/>
      <color rgb="FF000000"/>
      <name val="Calibri"/>
      <family val="2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rgb="FF31859B"/>
        <bgColor rgb="FF31859B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0080"/>
        <bgColor rgb="FF00008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5A6BD"/>
        <bgColor rgb="FFD5A6BD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C2D69B"/>
        <bgColor rgb="FFC2D69B"/>
      </patternFill>
    </fill>
    <fill>
      <patternFill patternType="solid">
        <fgColor rgb="FFCFE2F3"/>
        <bgColor rgb="FFCFE2F3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49" fontId="5" fillId="4" borderId="6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5" borderId="8" xfId="0" applyNumberFormat="1" applyFont="1" applyFill="1" applyBorder="1" applyAlignment="1">
      <alignment horizontal="center" vertical="center" wrapText="1"/>
    </xf>
    <xf numFmtId="49" fontId="5" fillId="6" borderId="8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wrapText="1"/>
    </xf>
    <xf numFmtId="0" fontId="8" fillId="0" borderId="6" xfId="0" applyFont="1" applyBorder="1"/>
    <xf numFmtId="0" fontId="9" fillId="0" borderId="6" xfId="0" applyFont="1" applyBorder="1"/>
    <xf numFmtId="4" fontId="9" fillId="0" borderId="6" xfId="0" applyNumberFormat="1" applyFont="1" applyBorder="1"/>
    <xf numFmtId="2" fontId="9" fillId="0" borderId="6" xfId="0" applyNumberFormat="1" applyFont="1" applyBorder="1"/>
    <xf numFmtId="0" fontId="11" fillId="0" borderId="6" xfId="0" applyFont="1" applyBorder="1" applyAlignment="1">
      <alignment wrapText="1"/>
    </xf>
    <xf numFmtId="0" fontId="7" fillId="0" borderId="6" xfId="0" applyFont="1" applyBorder="1"/>
    <xf numFmtId="0" fontId="12" fillId="7" borderId="6" xfId="0" applyFont="1" applyFill="1" applyBorder="1"/>
    <xf numFmtId="9" fontId="13" fillId="8" borderId="6" xfId="0" applyNumberFormat="1" applyFont="1" applyFill="1" applyBorder="1"/>
    <xf numFmtId="164" fontId="13" fillId="8" borderId="12" xfId="0" applyNumberFormat="1" applyFont="1" applyFill="1" applyBorder="1"/>
    <xf numFmtId="0" fontId="9" fillId="8" borderId="12" xfId="0" applyFont="1" applyFill="1" applyBorder="1"/>
    <xf numFmtId="0" fontId="9" fillId="8" borderId="6" xfId="0" applyFont="1" applyFill="1" applyBorder="1"/>
    <xf numFmtId="0" fontId="14" fillId="10" borderId="19" xfId="0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13" fillId="8" borderId="23" xfId="0" applyFont="1" applyFill="1" applyBorder="1"/>
    <xf numFmtId="165" fontId="13" fillId="8" borderId="6" xfId="0" applyNumberFormat="1" applyFont="1" applyFill="1" applyBorder="1" applyAlignment="1">
      <alignment horizontal="center"/>
    </xf>
    <xf numFmtId="164" fontId="9" fillId="8" borderId="6" xfId="0" applyNumberFormat="1" applyFont="1" applyFill="1" applyBorder="1"/>
    <xf numFmtId="164" fontId="13" fillId="8" borderId="6" xfId="0" applyNumberFormat="1" applyFont="1" applyFill="1" applyBorder="1"/>
    <xf numFmtId="165" fontId="13" fillId="0" borderId="6" xfId="0" applyNumberFormat="1" applyFont="1" applyBorder="1"/>
    <xf numFmtId="165" fontId="13" fillId="0" borderId="1" xfId="0" applyNumberFormat="1" applyFont="1" applyBorder="1"/>
    <xf numFmtId="165" fontId="13" fillId="0" borderId="24" xfId="0" applyNumberFormat="1" applyFont="1" applyBorder="1"/>
    <xf numFmtId="165" fontId="13" fillId="8" borderId="6" xfId="0" applyNumberFormat="1" applyFont="1" applyFill="1" applyBorder="1" applyAlignment="1">
      <alignment horizontal="left"/>
    </xf>
    <xf numFmtId="0" fontId="15" fillId="0" borderId="23" xfId="0" applyFont="1" applyBorder="1" applyAlignment="1">
      <alignment wrapText="1"/>
    </xf>
    <xf numFmtId="165" fontId="13" fillId="11" borderId="6" xfId="0" applyNumberFormat="1" applyFont="1" applyFill="1" applyBorder="1" applyAlignment="1">
      <alignment horizontal="center"/>
    </xf>
    <xf numFmtId="165" fontId="13" fillId="8" borderId="6" xfId="0" applyNumberFormat="1" applyFont="1" applyFill="1" applyBorder="1"/>
    <xf numFmtId="165" fontId="13" fillId="0" borderId="6" xfId="0" applyNumberFormat="1" applyFont="1" applyBorder="1" applyAlignment="1">
      <alignment horizontal="center"/>
    </xf>
    <xf numFmtId="0" fontId="13" fillId="0" borderId="23" xfId="0" applyFont="1" applyBorder="1" applyAlignment="1">
      <alignment wrapText="1"/>
    </xf>
    <xf numFmtId="0" fontId="13" fillId="0" borderId="6" xfId="0" applyFont="1" applyBorder="1" applyAlignment="1">
      <alignment wrapText="1"/>
    </xf>
    <xf numFmtId="166" fontId="13" fillId="0" borderId="6" xfId="0" applyNumberFormat="1" applyFont="1" applyBorder="1" applyAlignment="1">
      <alignment horizontal="center"/>
    </xf>
    <xf numFmtId="0" fontId="13" fillId="0" borderId="6" xfId="0" applyFont="1" applyBorder="1"/>
    <xf numFmtId="0" fontId="13" fillId="0" borderId="6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6" xfId="0" applyFont="1" applyBorder="1" applyAlignment="1">
      <alignment horizontal="right"/>
    </xf>
    <xf numFmtId="165" fontId="16" fillId="0" borderId="6" xfId="0" applyNumberFormat="1" applyFont="1" applyBorder="1"/>
    <xf numFmtId="0" fontId="17" fillId="8" borderId="6" xfId="0" applyFont="1" applyFill="1" applyBorder="1"/>
    <xf numFmtId="0" fontId="9" fillId="8" borderId="0" xfId="0" applyFont="1" applyFill="1"/>
    <xf numFmtId="0" fontId="14" fillId="10" borderId="23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/>
    </xf>
    <xf numFmtId="3" fontId="13" fillId="0" borderId="6" xfId="0" applyNumberFormat="1" applyFont="1" applyBorder="1"/>
    <xf numFmtId="3" fontId="13" fillId="0" borderId="6" xfId="0" applyNumberFormat="1" applyFont="1" applyBorder="1" applyAlignment="1">
      <alignment vertical="center"/>
    </xf>
    <xf numFmtId="0" fontId="13" fillId="0" borderId="23" xfId="0" applyFont="1" applyBorder="1" applyAlignment="1">
      <alignment horizontal="left" wrapText="1"/>
    </xf>
    <xf numFmtId="0" fontId="13" fillId="12" borderId="23" xfId="0" applyFont="1" applyFill="1" applyBorder="1" applyAlignment="1">
      <alignment horizontal="left" wrapText="1"/>
    </xf>
    <xf numFmtId="3" fontId="13" fillId="12" borderId="6" xfId="0" applyNumberFormat="1" applyFont="1" applyFill="1" applyBorder="1"/>
    <xf numFmtId="3" fontId="16" fillId="12" borderId="6" xfId="0" applyNumberFormat="1" applyFont="1" applyFill="1" applyBorder="1" applyAlignment="1">
      <alignment horizontal="right"/>
    </xf>
    <xf numFmtId="3" fontId="9" fillId="12" borderId="6" xfId="0" applyNumberFormat="1" applyFont="1" applyFill="1" applyBorder="1"/>
    <xf numFmtId="0" fontId="18" fillId="13" borderId="6" xfId="0" applyFont="1" applyFill="1" applyBorder="1" applyAlignment="1">
      <alignment horizontal="center"/>
    </xf>
    <xf numFmtId="0" fontId="18" fillId="13" borderId="6" xfId="0" applyFont="1" applyFill="1" applyBorder="1"/>
    <xf numFmtId="0" fontId="19" fillId="14" borderId="6" xfId="0" applyFont="1" applyFill="1" applyBorder="1"/>
    <xf numFmtId="165" fontId="19" fillId="14" borderId="6" xfId="0" applyNumberFormat="1" applyFont="1" applyFill="1" applyBorder="1"/>
    <xf numFmtId="3" fontId="19" fillId="14" borderId="6" xfId="0" applyNumberFormat="1" applyFont="1" applyFill="1" applyBorder="1"/>
    <xf numFmtId="0" fontId="19" fillId="15" borderId="6" xfId="0" applyFont="1" applyFill="1" applyBorder="1"/>
    <xf numFmtId="0" fontId="19" fillId="5" borderId="6" xfId="0" applyFont="1" applyFill="1" applyBorder="1"/>
    <xf numFmtId="165" fontId="19" fillId="5" borderId="6" xfId="0" applyNumberFormat="1" applyFont="1" applyFill="1" applyBorder="1"/>
    <xf numFmtId="0" fontId="20" fillId="16" borderId="6" xfId="0" applyFont="1" applyFill="1" applyBorder="1"/>
    <xf numFmtId="165" fontId="20" fillId="16" borderId="6" xfId="0" applyNumberFormat="1" applyFont="1" applyFill="1" applyBorder="1"/>
    <xf numFmtId="0" fontId="20" fillId="17" borderId="6" xfId="0" applyFont="1" applyFill="1" applyBorder="1"/>
    <xf numFmtId="165" fontId="20" fillId="17" borderId="6" xfId="0" applyNumberFormat="1" applyFont="1" applyFill="1" applyBorder="1"/>
    <xf numFmtId="0" fontId="21" fillId="0" borderId="0" xfId="0" applyFont="1"/>
    <xf numFmtId="0" fontId="9" fillId="0" borderId="0" xfId="0" applyFont="1"/>
    <xf numFmtId="0" fontId="22" fillId="0" borderId="0" xfId="0" applyFont="1"/>
    <xf numFmtId="0" fontId="17" fillId="18" borderId="12" xfId="0" applyFont="1" applyFill="1" applyBorder="1" applyAlignment="1">
      <alignment horizontal="center"/>
    </xf>
    <xf numFmtId="0" fontId="17" fillId="0" borderId="6" xfId="0" applyFont="1" applyBorder="1"/>
    <xf numFmtId="167" fontId="9" fillId="0" borderId="6" xfId="0" applyNumberFormat="1" applyFont="1" applyBorder="1"/>
    <xf numFmtId="10" fontId="9" fillId="0" borderId="6" xfId="0" applyNumberFormat="1" applyFont="1" applyBorder="1"/>
    <xf numFmtId="4" fontId="9" fillId="19" borderId="6" xfId="0" applyNumberFormat="1" applyFont="1" applyFill="1" applyBorder="1"/>
    <xf numFmtId="0" fontId="17" fillId="0" borderId="0" xfId="0" applyFont="1"/>
    <xf numFmtId="4" fontId="9" fillId="0" borderId="0" xfId="0" applyNumberFormat="1" applyFont="1"/>
    <xf numFmtId="0" fontId="17" fillId="20" borderId="6" xfId="0" applyFont="1" applyFill="1" applyBorder="1"/>
    <xf numFmtId="0" fontId="21" fillId="20" borderId="6" xfId="0" applyFont="1" applyFill="1" applyBorder="1"/>
    <xf numFmtId="4" fontId="22" fillId="0" borderId="6" xfId="0" applyNumberFormat="1" applyFont="1" applyBorder="1"/>
    <xf numFmtId="2" fontId="9" fillId="0" borderId="1" xfId="0" applyNumberFormat="1" applyFont="1" applyBorder="1"/>
    <xf numFmtId="0" fontId="7" fillId="0" borderId="3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8" fillId="0" borderId="20" xfId="0" applyFont="1" applyBorder="1"/>
    <xf numFmtId="9" fontId="8" fillId="0" borderId="20" xfId="0" applyNumberFormat="1" applyFont="1" applyBorder="1"/>
    <xf numFmtId="0" fontId="9" fillId="0" borderId="20" xfId="0" applyFont="1" applyBorder="1"/>
    <xf numFmtId="4" fontId="9" fillId="0" borderId="20" xfId="0" applyNumberFormat="1" applyFont="1" applyBorder="1"/>
    <xf numFmtId="9" fontId="9" fillId="0" borderId="20" xfId="0" applyNumberFormat="1" applyFont="1" applyBorder="1"/>
    <xf numFmtId="2" fontId="9" fillId="0" borderId="20" xfId="0" applyNumberFormat="1" applyFont="1" applyBorder="1"/>
    <xf numFmtId="2" fontId="9" fillId="0" borderId="21" xfId="0" applyNumberFormat="1" applyFont="1" applyBorder="1"/>
    <xf numFmtId="49" fontId="5" fillId="4" borderId="30" xfId="0" applyNumberFormat="1" applyFont="1" applyFill="1" applyBorder="1" applyAlignment="1">
      <alignment horizontal="center" vertical="center" wrapText="1"/>
    </xf>
    <xf numFmtId="49" fontId="5" fillId="4" borderId="31" xfId="0" applyNumberFormat="1" applyFont="1" applyFill="1" applyBorder="1" applyAlignment="1">
      <alignment horizontal="center" vertical="center" wrapText="1"/>
    </xf>
    <xf numFmtId="49" fontId="5" fillId="5" borderId="30" xfId="0" applyNumberFormat="1" applyFont="1" applyFill="1" applyBorder="1" applyAlignment="1">
      <alignment horizontal="center" vertical="center" wrapText="1"/>
    </xf>
    <xf numFmtId="49" fontId="5" fillId="6" borderId="30" xfId="0" applyNumberFormat="1" applyFont="1" applyFill="1" applyBorder="1" applyAlignment="1">
      <alignment horizontal="center" vertical="center" wrapText="1"/>
    </xf>
    <xf numFmtId="2" fontId="0" fillId="0" borderId="27" xfId="0" applyNumberFormat="1" applyBorder="1"/>
    <xf numFmtId="0" fontId="3" fillId="0" borderId="11" xfId="0" applyFont="1" applyBorder="1" applyAlignment="1">
      <alignment horizontal="center" vertical="center"/>
    </xf>
    <xf numFmtId="0" fontId="1" fillId="0" borderId="0" xfId="0" applyFont="1"/>
    <xf numFmtId="3" fontId="1" fillId="0" borderId="0" xfId="0" applyNumberFormat="1" applyFont="1"/>
    <xf numFmtId="3" fontId="0" fillId="0" borderId="40" xfId="0" applyNumberFormat="1" applyBorder="1"/>
    <xf numFmtId="2" fontId="9" fillId="0" borderId="37" xfId="0" applyNumberFormat="1" applyFont="1" applyBorder="1" applyAlignment="1">
      <alignment horizontal="center" vertical="center"/>
    </xf>
    <xf numFmtId="2" fontId="9" fillId="0" borderId="36" xfId="0" applyNumberFormat="1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3" fillId="0" borderId="9" xfId="0" applyFont="1" applyBorder="1"/>
    <xf numFmtId="0" fontId="8" fillId="0" borderId="1" xfId="0" applyFont="1" applyBorder="1"/>
    <xf numFmtId="0" fontId="3" fillId="0" borderId="2" xfId="0" applyFont="1" applyBorder="1"/>
    <xf numFmtId="0" fontId="3" fillId="0" borderId="3" xfId="0" applyFont="1" applyBorder="1"/>
    <xf numFmtId="2" fontId="9" fillId="0" borderId="35" xfId="0" applyNumberFormat="1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wrapText="1"/>
    </xf>
    <xf numFmtId="0" fontId="3" fillId="0" borderId="33" xfId="0" applyFont="1" applyBorder="1"/>
    <xf numFmtId="0" fontId="3" fillId="0" borderId="34" xfId="0" applyFont="1" applyBorder="1"/>
    <xf numFmtId="0" fontId="4" fillId="3" borderId="32" xfId="0" applyFont="1" applyFill="1" applyBorder="1" applyAlignment="1">
      <alignment horizontal="center"/>
    </xf>
    <xf numFmtId="49" fontId="5" fillId="4" borderId="32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21" xfId="0" applyFont="1" applyBorder="1"/>
    <xf numFmtId="0" fontId="3" fillId="0" borderId="26" xfId="0" applyFont="1" applyBorder="1"/>
    <xf numFmtId="0" fontId="3" fillId="0" borderId="28" xfId="0" applyFont="1" applyBorder="1"/>
    <xf numFmtId="0" fontId="6" fillId="0" borderId="27" xfId="0" applyFont="1" applyBorder="1" applyAlignment="1">
      <alignment horizontal="center" vertical="center" wrapText="1"/>
    </xf>
    <xf numFmtId="0" fontId="3" fillId="0" borderId="27" xfId="0" applyFont="1" applyBorder="1"/>
    <xf numFmtId="0" fontId="24" fillId="0" borderId="3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2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2" fontId="9" fillId="0" borderId="1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3" fillId="0" borderId="5" xfId="0" applyFont="1" applyBorder="1"/>
    <xf numFmtId="0" fontId="2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38" xfId="0" applyFont="1" applyBorder="1"/>
    <xf numFmtId="0" fontId="14" fillId="9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14" fillId="9" borderId="16" xfId="0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14" fillId="9" borderId="25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69"/>
  <sheetViews>
    <sheetView topLeftCell="A26" zoomScale="85" zoomScaleNormal="85" workbookViewId="0">
      <selection activeCell="K26" sqref="K26"/>
    </sheetView>
  </sheetViews>
  <sheetFormatPr baseColWidth="10" defaultColWidth="14.42578125" defaultRowHeight="15" customHeight="1" x14ac:dyDescent="0.25"/>
  <cols>
    <col min="1" max="1" width="14.85546875" bestFit="1" customWidth="1"/>
    <col min="2" max="2" width="6.5703125" bestFit="1" customWidth="1"/>
    <col min="3" max="3" width="27" customWidth="1"/>
    <col min="4" max="4" width="17.42578125" bestFit="1" customWidth="1"/>
    <col min="5" max="5" width="10.7109375" bestFit="1" customWidth="1"/>
    <col min="6" max="6" width="10.7109375" customWidth="1"/>
    <col min="7" max="7" width="12.7109375" bestFit="1" customWidth="1"/>
    <col min="8" max="10" width="10.7109375" customWidth="1"/>
  </cols>
  <sheetData>
    <row r="1" spans="1:7" ht="28.5" customHeight="1" x14ac:dyDescent="0.3">
      <c r="A1" s="126" t="s">
        <v>18</v>
      </c>
      <c r="B1" s="104"/>
      <c r="C1" s="104"/>
      <c r="D1" s="105"/>
      <c r="E1" s="127" t="s">
        <v>1</v>
      </c>
      <c r="F1" s="128"/>
      <c r="G1" s="128"/>
    </row>
    <row r="2" spans="1:7" ht="75.75" customHeight="1" x14ac:dyDescent="0.25">
      <c r="A2" s="1" t="s">
        <v>2</v>
      </c>
      <c r="B2" s="2" t="s">
        <v>19</v>
      </c>
      <c r="C2" s="3" t="s">
        <v>4</v>
      </c>
      <c r="D2" s="3" t="s">
        <v>20</v>
      </c>
      <c r="E2" s="4" t="s">
        <v>21</v>
      </c>
      <c r="F2" s="4" t="s">
        <v>16</v>
      </c>
      <c r="G2" s="5" t="s">
        <v>22</v>
      </c>
    </row>
    <row r="3" spans="1:7" ht="24.75" x14ac:dyDescent="0.25">
      <c r="A3" s="129" t="s">
        <v>168</v>
      </c>
      <c r="B3" s="94" t="s">
        <v>94</v>
      </c>
      <c r="C3" s="11" t="s">
        <v>170</v>
      </c>
      <c r="D3" s="7">
        <v>3</v>
      </c>
      <c r="E3" s="10">
        <v>1180242</v>
      </c>
      <c r="F3" s="10">
        <f>E3*D3</f>
        <v>3540726</v>
      </c>
      <c r="G3" s="121">
        <f>SUM(F3:F10)</f>
        <v>34227018</v>
      </c>
    </row>
    <row r="4" spans="1:7" ht="24.75" x14ac:dyDescent="0.25">
      <c r="A4" s="130"/>
      <c r="B4" s="94" t="s">
        <v>126</v>
      </c>
      <c r="C4" s="11" t="s">
        <v>127</v>
      </c>
      <c r="D4" s="7">
        <v>2</v>
      </c>
      <c r="E4" s="10">
        <v>1180242</v>
      </c>
      <c r="F4" s="10">
        <f t="shared" ref="F4:F16" si="0">E4*D4</f>
        <v>2360484</v>
      </c>
      <c r="G4" s="122"/>
    </row>
    <row r="5" spans="1:7" ht="36.75" x14ac:dyDescent="0.25">
      <c r="A5" s="130"/>
      <c r="B5" s="94" t="s">
        <v>96</v>
      </c>
      <c r="C5" s="11" t="s">
        <v>129</v>
      </c>
      <c r="D5" s="7">
        <v>2</v>
      </c>
      <c r="E5" s="10">
        <v>1180242</v>
      </c>
      <c r="F5" s="10">
        <f t="shared" si="0"/>
        <v>2360484</v>
      </c>
      <c r="G5" s="122"/>
    </row>
    <row r="6" spans="1:7" ht="24.75" x14ac:dyDescent="0.25">
      <c r="A6" s="130"/>
      <c r="B6" s="94" t="s">
        <v>97</v>
      </c>
      <c r="C6" s="11" t="s">
        <v>128</v>
      </c>
      <c r="D6" s="12">
        <v>5</v>
      </c>
      <c r="E6" s="10">
        <v>1180242</v>
      </c>
      <c r="F6" s="10">
        <f t="shared" si="0"/>
        <v>5901210</v>
      </c>
      <c r="G6" s="122"/>
    </row>
    <row r="7" spans="1:7" ht="24.75" x14ac:dyDescent="0.25">
      <c r="A7" s="130"/>
      <c r="B7" s="94" t="s">
        <v>98</v>
      </c>
      <c r="C7" s="11" t="s">
        <v>130</v>
      </c>
      <c r="D7" s="7">
        <v>5</v>
      </c>
      <c r="E7" s="10">
        <v>1180242</v>
      </c>
      <c r="F7" s="10">
        <f t="shared" si="0"/>
        <v>5901210</v>
      </c>
      <c r="G7" s="122"/>
    </row>
    <row r="8" spans="1:7" ht="24.75" x14ac:dyDescent="0.25">
      <c r="A8" s="130"/>
      <c r="B8" s="94" t="s">
        <v>99</v>
      </c>
      <c r="C8" s="11" t="s">
        <v>130</v>
      </c>
      <c r="D8" s="7">
        <v>2</v>
      </c>
      <c r="E8" s="10">
        <v>1180242</v>
      </c>
      <c r="F8" s="10">
        <f t="shared" si="0"/>
        <v>2360484</v>
      </c>
      <c r="G8" s="122"/>
    </row>
    <row r="9" spans="1:7" ht="24.75" x14ac:dyDescent="0.25">
      <c r="A9" s="130"/>
      <c r="B9" s="94" t="s">
        <v>100</v>
      </c>
      <c r="C9" s="11" t="s">
        <v>131</v>
      </c>
      <c r="D9" s="7">
        <v>2</v>
      </c>
      <c r="E9" s="10">
        <v>1180242</v>
      </c>
      <c r="F9" s="10">
        <f t="shared" si="0"/>
        <v>2360484</v>
      </c>
      <c r="G9" s="122"/>
    </row>
    <row r="10" spans="1:7" ht="24.75" x14ac:dyDescent="0.25">
      <c r="A10" s="130"/>
      <c r="B10" s="94" t="s">
        <v>101</v>
      </c>
      <c r="C10" s="11" t="s">
        <v>132</v>
      </c>
      <c r="D10" s="7">
        <v>8</v>
      </c>
      <c r="E10" s="10">
        <v>1180242</v>
      </c>
      <c r="F10" s="10">
        <f t="shared" si="0"/>
        <v>9441936</v>
      </c>
      <c r="G10" s="122"/>
    </row>
    <row r="11" spans="1:7" ht="24.75" x14ac:dyDescent="0.25">
      <c r="A11" s="124" t="s">
        <v>169</v>
      </c>
      <c r="B11" s="94" t="s">
        <v>102</v>
      </c>
      <c r="C11" s="11" t="s">
        <v>140</v>
      </c>
      <c r="D11" s="7">
        <v>13</v>
      </c>
      <c r="E11" s="10">
        <v>1180242</v>
      </c>
      <c r="F11" s="10">
        <f t="shared" si="0"/>
        <v>15343146</v>
      </c>
      <c r="G11" s="125">
        <f>SUM(F11:F16)</f>
        <v>42488712</v>
      </c>
    </row>
    <row r="12" spans="1:7" ht="24.75" x14ac:dyDescent="0.25">
      <c r="A12" s="102"/>
      <c r="B12" s="94" t="s">
        <v>103</v>
      </c>
      <c r="C12" s="11" t="s">
        <v>141</v>
      </c>
      <c r="D12" s="7">
        <v>5</v>
      </c>
      <c r="E12" s="10">
        <v>1180242</v>
      </c>
      <c r="F12" s="10">
        <f t="shared" si="0"/>
        <v>5901210</v>
      </c>
      <c r="G12" s="122"/>
    </row>
    <row r="13" spans="1:7" ht="24.75" x14ac:dyDescent="0.25">
      <c r="A13" s="102"/>
      <c r="B13" s="94" t="s">
        <v>104</v>
      </c>
      <c r="C13" s="11" t="s">
        <v>142</v>
      </c>
      <c r="D13" s="7">
        <v>5</v>
      </c>
      <c r="E13" s="10">
        <v>1180242</v>
      </c>
      <c r="F13" s="10">
        <f t="shared" si="0"/>
        <v>5901210</v>
      </c>
      <c r="G13" s="122"/>
    </row>
    <row r="14" spans="1:7" ht="24.75" x14ac:dyDescent="0.25">
      <c r="A14" s="102"/>
      <c r="B14" s="94" t="s">
        <v>105</v>
      </c>
      <c r="C14" s="11" t="s">
        <v>143</v>
      </c>
      <c r="D14" s="7">
        <v>5</v>
      </c>
      <c r="E14" s="10">
        <v>1180242</v>
      </c>
      <c r="F14" s="10">
        <f t="shared" si="0"/>
        <v>5901210</v>
      </c>
      <c r="G14" s="122"/>
    </row>
    <row r="15" spans="1:7" ht="24.75" x14ac:dyDescent="0.25">
      <c r="A15" s="102"/>
      <c r="B15" s="94" t="s">
        <v>106</v>
      </c>
      <c r="C15" s="11" t="s">
        <v>144</v>
      </c>
      <c r="D15" s="7">
        <v>5</v>
      </c>
      <c r="E15" s="10">
        <v>1180242</v>
      </c>
      <c r="F15" s="10">
        <f t="shared" si="0"/>
        <v>5901210</v>
      </c>
      <c r="G15" s="122"/>
    </row>
    <row r="16" spans="1:7" ht="24.75" x14ac:dyDescent="0.25">
      <c r="A16" s="102"/>
      <c r="B16" s="94" t="s">
        <v>107</v>
      </c>
      <c r="C16" s="11" t="s">
        <v>145</v>
      </c>
      <c r="D16" s="7">
        <v>3</v>
      </c>
      <c r="E16" s="10">
        <v>1180242</v>
      </c>
      <c r="F16" s="10">
        <f t="shared" si="0"/>
        <v>3540726</v>
      </c>
      <c r="G16" s="122"/>
    </row>
    <row r="17" spans="1:8" ht="24.75" x14ac:dyDescent="0.25">
      <c r="A17" s="124" t="s">
        <v>171</v>
      </c>
      <c r="B17" s="94" t="s">
        <v>137</v>
      </c>
      <c r="C17" s="11" t="s">
        <v>150</v>
      </c>
      <c r="D17" s="7">
        <v>8</v>
      </c>
      <c r="E17" s="10">
        <v>1180242</v>
      </c>
      <c r="F17" s="10">
        <f t="shared" ref="F17:F22" si="1">E17*D17</f>
        <v>9441936</v>
      </c>
      <c r="G17" s="125">
        <f>SUM(F17:F22)</f>
        <v>49570164</v>
      </c>
    </row>
    <row r="18" spans="1:8" ht="24.75" x14ac:dyDescent="0.25">
      <c r="A18" s="102"/>
      <c r="B18" s="94" t="s">
        <v>138</v>
      </c>
      <c r="C18" s="6" t="s">
        <v>172</v>
      </c>
      <c r="D18" s="7">
        <v>8</v>
      </c>
      <c r="E18" s="10">
        <v>1180242</v>
      </c>
      <c r="F18" s="10">
        <f t="shared" si="1"/>
        <v>9441936</v>
      </c>
      <c r="G18" s="122"/>
    </row>
    <row r="19" spans="1:8" ht="24.75" x14ac:dyDescent="0.25">
      <c r="A19" s="102"/>
      <c r="B19" s="94" t="s">
        <v>146</v>
      </c>
      <c r="C19" s="11" t="s">
        <v>152</v>
      </c>
      <c r="D19" s="7">
        <v>8</v>
      </c>
      <c r="E19" s="10">
        <v>1180242</v>
      </c>
      <c r="F19" s="10">
        <f t="shared" si="1"/>
        <v>9441936</v>
      </c>
      <c r="G19" s="122"/>
    </row>
    <row r="20" spans="1:8" ht="24.75" x14ac:dyDescent="0.25">
      <c r="A20" s="102"/>
      <c r="B20" s="94" t="s">
        <v>147</v>
      </c>
      <c r="C20" s="11" t="s">
        <v>173</v>
      </c>
      <c r="D20" s="7">
        <v>5</v>
      </c>
      <c r="E20" s="10">
        <v>1180242</v>
      </c>
      <c r="F20" s="10">
        <f t="shared" si="1"/>
        <v>5901210</v>
      </c>
      <c r="G20" s="122"/>
    </row>
    <row r="21" spans="1:8" ht="36.75" x14ac:dyDescent="0.25">
      <c r="A21" s="102"/>
      <c r="B21" s="94" t="s">
        <v>148</v>
      </c>
      <c r="C21" s="11" t="s">
        <v>174</v>
      </c>
      <c r="D21" s="7">
        <v>5</v>
      </c>
      <c r="E21" s="10">
        <v>1180242</v>
      </c>
      <c r="F21" s="10">
        <f t="shared" si="1"/>
        <v>5901210</v>
      </c>
      <c r="G21" s="122"/>
    </row>
    <row r="22" spans="1:8" ht="24.75" x14ac:dyDescent="0.25">
      <c r="A22" s="131"/>
      <c r="B22" s="94" t="s">
        <v>149</v>
      </c>
      <c r="C22" s="11" t="s">
        <v>155</v>
      </c>
      <c r="D22" s="7">
        <v>8</v>
      </c>
      <c r="E22" s="10">
        <v>1180242</v>
      </c>
      <c r="F22" s="10">
        <f t="shared" si="1"/>
        <v>9441936</v>
      </c>
      <c r="G22" s="123"/>
    </row>
    <row r="23" spans="1:8" ht="24.75" x14ac:dyDescent="0.25">
      <c r="A23" s="118" t="s">
        <v>175</v>
      </c>
      <c r="B23" s="94" t="s">
        <v>157</v>
      </c>
      <c r="C23" s="11" t="s">
        <v>162</v>
      </c>
      <c r="D23" s="7">
        <v>3</v>
      </c>
      <c r="E23" s="10">
        <v>1180242</v>
      </c>
      <c r="F23" s="10">
        <f>E23*D23</f>
        <v>3540726</v>
      </c>
      <c r="G23" s="121">
        <f>SUM(F23:F27)</f>
        <v>20064114</v>
      </c>
    </row>
    <row r="24" spans="1:8" ht="36.75" x14ac:dyDescent="0.25">
      <c r="A24" s="119"/>
      <c r="B24" s="94" t="s">
        <v>158</v>
      </c>
      <c r="C24" s="11" t="s">
        <v>163</v>
      </c>
      <c r="D24" s="7">
        <v>5</v>
      </c>
      <c r="E24" s="10">
        <v>1180242</v>
      </c>
      <c r="F24" s="10">
        <f>E24*D24</f>
        <v>5901210</v>
      </c>
      <c r="G24" s="122"/>
    </row>
    <row r="25" spans="1:8" ht="24.75" x14ac:dyDescent="0.25">
      <c r="A25" s="119"/>
      <c r="B25" s="94" t="s">
        <v>159</v>
      </c>
      <c r="C25" s="11" t="s">
        <v>164</v>
      </c>
      <c r="D25" s="7">
        <v>5</v>
      </c>
      <c r="E25" s="10">
        <v>1180242</v>
      </c>
      <c r="F25" s="10">
        <f>E25*D25</f>
        <v>5901210</v>
      </c>
      <c r="G25" s="122"/>
    </row>
    <row r="26" spans="1:8" ht="24.75" x14ac:dyDescent="0.25">
      <c r="A26" s="119"/>
      <c r="B26" s="94" t="s">
        <v>160</v>
      </c>
      <c r="C26" s="11" t="s">
        <v>176</v>
      </c>
      <c r="D26" s="7">
        <v>1</v>
      </c>
      <c r="E26" s="10">
        <v>1180242</v>
      </c>
      <c r="F26" s="10">
        <f>E26*D26</f>
        <v>1180242</v>
      </c>
      <c r="G26" s="122"/>
    </row>
    <row r="27" spans="1:8" ht="24.75" x14ac:dyDescent="0.25">
      <c r="A27" s="120"/>
      <c r="B27" s="94" t="s">
        <v>161</v>
      </c>
      <c r="C27" s="11" t="s">
        <v>166</v>
      </c>
      <c r="D27" s="7">
        <v>3</v>
      </c>
      <c r="E27" s="10">
        <v>1180242</v>
      </c>
      <c r="F27" s="10">
        <f>E27*D27</f>
        <v>3540726</v>
      </c>
      <c r="G27" s="123"/>
    </row>
    <row r="28" spans="1:8" ht="15.75" customHeight="1" x14ac:dyDescent="0.25">
      <c r="G28" s="93">
        <f>SUM(G3:G27)</f>
        <v>146350008</v>
      </c>
    </row>
    <row r="29" spans="1:8" ht="15.75" customHeight="1" x14ac:dyDescent="0.25"/>
    <row r="30" spans="1:8" ht="15.75" customHeight="1" x14ac:dyDescent="0.25">
      <c r="H30" t="s">
        <v>43</v>
      </c>
    </row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</sheetData>
  <mergeCells count="10">
    <mergeCell ref="A23:A27"/>
    <mergeCell ref="G23:G27"/>
    <mergeCell ref="A11:A16"/>
    <mergeCell ref="G11:G16"/>
    <mergeCell ref="A1:D1"/>
    <mergeCell ref="E1:G1"/>
    <mergeCell ref="A3:A10"/>
    <mergeCell ref="G3:G10"/>
    <mergeCell ref="A17:A22"/>
    <mergeCell ref="G17:G22"/>
  </mergeCells>
  <pageMargins left="0.70866141732283472" right="0.70866141732283472" top="0.74803149606299213" bottom="0.74803149606299213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7"/>
  <sheetViews>
    <sheetView tabSelected="1" topLeftCell="C31" zoomScale="96" zoomScaleNormal="96" workbookViewId="0">
      <selection activeCell="H40" sqref="H40"/>
    </sheetView>
  </sheetViews>
  <sheetFormatPr baseColWidth="10" defaultColWidth="14.42578125" defaultRowHeight="15" customHeight="1" x14ac:dyDescent="0.25"/>
  <cols>
    <col min="1" max="1" width="10.7109375" customWidth="1"/>
    <col min="2" max="2" width="5.42578125" customWidth="1"/>
    <col min="3" max="3" width="27" customWidth="1"/>
    <col min="4" max="4" width="10.7109375" bestFit="1" customWidth="1"/>
    <col min="5" max="6" width="10.7109375" customWidth="1"/>
    <col min="7" max="7" width="18.85546875" customWidth="1"/>
    <col min="8" max="8" width="14.42578125" bestFit="1" customWidth="1"/>
    <col min="9" max="11" width="3.140625" bestFit="1" customWidth="1"/>
    <col min="12" max="12" width="10.7109375" customWidth="1"/>
    <col min="13" max="13" width="8.85546875" bestFit="1" customWidth="1"/>
    <col min="14" max="14" width="12.85546875" bestFit="1" customWidth="1"/>
    <col min="15" max="15" width="11.5703125" bestFit="1" customWidth="1"/>
    <col min="16" max="16" width="12.42578125" customWidth="1"/>
    <col min="17" max="17" width="10.42578125" bestFit="1" customWidth="1"/>
    <col min="18" max="18" width="10.7109375" bestFit="1" customWidth="1"/>
    <col min="19" max="19" width="14.42578125" bestFit="1" customWidth="1"/>
    <col min="20" max="22" width="10.7109375" customWidth="1"/>
  </cols>
  <sheetData>
    <row r="1" spans="1:19" ht="28.5" customHeight="1" thickBot="1" x14ac:dyDescent="0.3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9"/>
      <c r="Q1" s="110" t="s">
        <v>1</v>
      </c>
      <c r="R1" s="108"/>
      <c r="S1" s="109"/>
    </row>
    <row r="2" spans="1:19" ht="75.75" customHeight="1" thickBot="1" x14ac:dyDescent="0.3">
      <c r="A2" s="89" t="s">
        <v>2</v>
      </c>
      <c r="B2" s="90" t="s">
        <v>3</v>
      </c>
      <c r="C2" s="89" t="s">
        <v>4</v>
      </c>
      <c r="D2" s="89" t="s">
        <v>5</v>
      </c>
      <c r="E2" s="111" t="s">
        <v>6</v>
      </c>
      <c r="F2" s="108"/>
      <c r="G2" s="109"/>
      <c r="H2" s="89" t="s">
        <v>7</v>
      </c>
      <c r="I2" s="89" t="s">
        <v>8</v>
      </c>
      <c r="J2" s="89" t="s">
        <v>9</v>
      </c>
      <c r="K2" s="89" t="s">
        <v>10</v>
      </c>
      <c r="L2" s="89" t="s">
        <v>93</v>
      </c>
      <c r="M2" s="89" t="s">
        <v>11</v>
      </c>
      <c r="N2" s="89" t="s">
        <v>12</v>
      </c>
      <c r="O2" s="89" t="s">
        <v>13</v>
      </c>
      <c r="P2" s="89" t="s">
        <v>14</v>
      </c>
      <c r="Q2" s="91" t="s">
        <v>15</v>
      </c>
      <c r="R2" s="91" t="s">
        <v>16</v>
      </c>
      <c r="S2" s="92" t="s">
        <v>17</v>
      </c>
    </row>
    <row r="3" spans="1:19" ht="28.5" x14ac:dyDescent="0.25">
      <c r="A3" s="112" t="s">
        <v>108</v>
      </c>
      <c r="B3" s="81" t="s">
        <v>109</v>
      </c>
      <c r="C3" s="81" t="s">
        <v>115</v>
      </c>
      <c r="D3" s="82" t="s">
        <v>92</v>
      </c>
      <c r="E3" s="113" t="s">
        <v>121</v>
      </c>
      <c r="F3" s="114"/>
      <c r="G3" s="115"/>
      <c r="H3" s="83">
        <v>0.09</v>
      </c>
      <c r="I3" s="84">
        <v>10</v>
      </c>
      <c r="J3" s="84">
        <v>7</v>
      </c>
      <c r="K3" s="84">
        <v>4</v>
      </c>
      <c r="L3" s="84">
        <f t="shared" ref="L3:L16" si="0">(I3+4*J3+K3)/6</f>
        <v>7</v>
      </c>
      <c r="M3" s="85">
        <f t="shared" ref="M3:M16" si="1">(I3-K3)/6</f>
        <v>1</v>
      </c>
      <c r="N3" s="85">
        <f>(L3+M3)*8</f>
        <v>64</v>
      </c>
      <c r="O3" s="86">
        <v>0.09</v>
      </c>
      <c r="P3" s="85">
        <f>N3*O3</f>
        <v>5.76</v>
      </c>
      <c r="Q3" s="87">
        <v>44574</v>
      </c>
      <c r="R3" s="88">
        <f>Q3*P3</f>
        <v>256746.23999999999</v>
      </c>
      <c r="S3" s="106">
        <f>SUM(R3:R8)</f>
        <v>1621080</v>
      </c>
    </row>
    <row r="4" spans="1:19" ht="19.5" x14ac:dyDescent="0.25">
      <c r="A4" s="102"/>
      <c r="B4" s="6" t="s">
        <v>110</v>
      </c>
      <c r="C4" s="6" t="s">
        <v>116</v>
      </c>
      <c r="D4" s="7" t="s">
        <v>92</v>
      </c>
      <c r="E4" s="103" t="s">
        <v>122</v>
      </c>
      <c r="F4" s="104"/>
      <c r="G4" s="105"/>
      <c r="H4" s="83">
        <v>0.09</v>
      </c>
      <c r="I4" s="8">
        <v>3</v>
      </c>
      <c r="J4" s="8">
        <v>2</v>
      </c>
      <c r="K4" s="8">
        <v>1</v>
      </c>
      <c r="L4" s="8">
        <f t="shared" si="0"/>
        <v>2</v>
      </c>
      <c r="M4" s="9">
        <f t="shared" si="1"/>
        <v>0.33333333333333331</v>
      </c>
      <c r="N4" s="9">
        <f t="shared" ref="N4:N16" si="2">(L4+M4)*8</f>
        <v>18.666666666666668</v>
      </c>
      <c r="O4" s="86">
        <v>0.09</v>
      </c>
      <c r="P4" s="9">
        <f t="shared" ref="P4:P16" si="3">N4*O4</f>
        <v>1.68</v>
      </c>
      <c r="Q4" s="87">
        <v>44574</v>
      </c>
      <c r="R4" s="79">
        <f t="shared" ref="R4:R16" si="4">Q4*P4</f>
        <v>74884.319999999992</v>
      </c>
      <c r="S4" s="99"/>
    </row>
    <row r="5" spans="1:19" ht="19.5" x14ac:dyDescent="0.25">
      <c r="A5" s="102"/>
      <c r="B5" s="6" t="s">
        <v>111</v>
      </c>
      <c r="C5" s="6" t="s">
        <v>119</v>
      </c>
      <c r="D5" s="7" t="s">
        <v>92</v>
      </c>
      <c r="E5" s="103" t="s">
        <v>123</v>
      </c>
      <c r="F5" s="104"/>
      <c r="G5" s="105"/>
      <c r="H5" s="83">
        <v>0.09</v>
      </c>
      <c r="I5" s="8">
        <v>14</v>
      </c>
      <c r="J5" s="8">
        <v>10</v>
      </c>
      <c r="K5" s="8">
        <v>6</v>
      </c>
      <c r="L5" s="8">
        <f t="shared" si="0"/>
        <v>10</v>
      </c>
      <c r="M5" s="9">
        <f t="shared" si="1"/>
        <v>1.3333333333333333</v>
      </c>
      <c r="N5" s="9">
        <f t="shared" si="2"/>
        <v>90.666666666666671</v>
      </c>
      <c r="O5" s="86">
        <v>0.09</v>
      </c>
      <c r="P5" s="9">
        <f t="shared" si="3"/>
        <v>8.16</v>
      </c>
      <c r="Q5" s="87">
        <v>44574</v>
      </c>
      <c r="R5" s="79">
        <f t="shared" si="4"/>
        <v>363723.84</v>
      </c>
      <c r="S5" s="99"/>
    </row>
    <row r="6" spans="1:19" ht="19.5" x14ac:dyDescent="0.25">
      <c r="A6" s="102"/>
      <c r="B6" s="6" t="s">
        <v>112</v>
      </c>
      <c r="C6" s="6" t="s">
        <v>118</v>
      </c>
      <c r="D6" s="7" t="s">
        <v>92</v>
      </c>
      <c r="E6" s="103" t="s">
        <v>123</v>
      </c>
      <c r="F6" s="104"/>
      <c r="G6" s="105"/>
      <c r="H6" s="83">
        <v>0.09</v>
      </c>
      <c r="I6" s="8">
        <v>10</v>
      </c>
      <c r="J6" s="8">
        <v>7</v>
      </c>
      <c r="K6" s="8">
        <v>4</v>
      </c>
      <c r="L6" s="8">
        <f t="shared" si="0"/>
        <v>7</v>
      </c>
      <c r="M6" s="9">
        <f t="shared" si="1"/>
        <v>1</v>
      </c>
      <c r="N6" s="9">
        <f t="shared" si="2"/>
        <v>64</v>
      </c>
      <c r="O6" s="86">
        <v>0.09</v>
      </c>
      <c r="P6" s="9">
        <f t="shared" si="3"/>
        <v>5.76</v>
      </c>
      <c r="Q6" s="87">
        <v>44574</v>
      </c>
      <c r="R6" s="79">
        <f t="shared" si="4"/>
        <v>256746.23999999999</v>
      </c>
      <c r="S6" s="99"/>
    </row>
    <row r="7" spans="1:19" ht="19.5" x14ac:dyDescent="0.25">
      <c r="A7" s="102"/>
      <c r="B7" s="6" t="s">
        <v>113</v>
      </c>
      <c r="C7" s="6" t="s">
        <v>120</v>
      </c>
      <c r="D7" s="7" t="s">
        <v>92</v>
      </c>
      <c r="E7" s="103" t="s">
        <v>124</v>
      </c>
      <c r="F7" s="104"/>
      <c r="G7" s="105"/>
      <c r="H7" s="83">
        <v>0.09</v>
      </c>
      <c r="I7" s="8">
        <v>6</v>
      </c>
      <c r="J7" s="8">
        <v>4</v>
      </c>
      <c r="K7" s="8">
        <v>2</v>
      </c>
      <c r="L7" s="8">
        <f t="shared" si="0"/>
        <v>4</v>
      </c>
      <c r="M7" s="9">
        <f t="shared" si="1"/>
        <v>0.66666666666666663</v>
      </c>
      <c r="N7" s="9">
        <f t="shared" si="2"/>
        <v>37.333333333333336</v>
      </c>
      <c r="O7" s="86">
        <v>0.09</v>
      </c>
      <c r="P7" s="9">
        <f t="shared" si="3"/>
        <v>3.36</v>
      </c>
      <c r="Q7" s="87">
        <v>73353</v>
      </c>
      <c r="R7" s="79">
        <f t="shared" si="4"/>
        <v>246466.08</v>
      </c>
      <c r="S7" s="99"/>
    </row>
    <row r="8" spans="1:19" ht="19.5" x14ac:dyDescent="0.25">
      <c r="A8" s="102"/>
      <c r="B8" s="6" t="s">
        <v>114</v>
      </c>
      <c r="C8" s="6" t="s">
        <v>117</v>
      </c>
      <c r="D8" s="7" t="s">
        <v>92</v>
      </c>
      <c r="E8" s="103" t="s">
        <v>124</v>
      </c>
      <c r="F8" s="104"/>
      <c r="G8" s="105"/>
      <c r="H8" s="83">
        <v>0.09</v>
      </c>
      <c r="I8" s="8">
        <v>10</v>
      </c>
      <c r="J8" s="8">
        <v>7</v>
      </c>
      <c r="K8" s="8">
        <v>4</v>
      </c>
      <c r="L8" s="8">
        <f t="shared" si="0"/>
        <v>7</v>
      </c>
      <c r="M8" s="9">
        <f t="shared" si="1"/>
        <v>1</v>
      </c>
      <c r="N8" s="9">
        <f t="shared" si="2"/>
        <v>64</v>
      </c>
      <c r="O8" s="86">
        <v>0.09</v>
      </c>
      <c r="P8" s="9">
        <f t="shared" si="3"/>
        <v>5.76</v>
      </c>
      <c r="Q8" s="87">
        <v>73353</v>
      </c>
      <c r="R8" s="79">
        <f t="shared" si="4"/>
        <v>422513.27999999997</v>
      </c>
      <c r="S8" s="100"/>
    </row>
    <row r="9" spans="1:19" ht="19.5" x14ac:dyDescent="0.25">
      <c r="A9" s="101" t="s">
        <v>125</v>
      </c>
      <c r="B9" s="6" t="s">
        <v>94</v>
      </c>
      <c r="C9" s="6" t="s">
        <v>95</v>
      </c>
      <c r="D9" s="7" t="s">
        <v>92</v>
      </c>
      <c r="E9" s="103" t="s">
        <v>133</v>
      </c>
      <c r="F9" s="104"/>
      <c r="G9" s="105"/>
      <c r="H9" s="83">
        <v>0.09</v>
      </c>
      <c r="I9" s="8">
        <v>22</v>
      </c>
      <c r="J9" s="8">
        <v>18</v>
      </c>
      <c r="K9" s="8">
        <v>14</v>
      </c>
      <c r="L9" s="8">
        <f t="shared" si="0"/>
        <v>18</v>
      </c>
      <c r="M9" s="9">
        <f t="shared" si="1"/>
        <v>1.3333333333333333</v>
      </c>
      <c r="N9" s="9">
        <f t="shared" si="2"/>
        <v>154.66666666666666</v>
      </c>
      <c r="O9" s="86">
        <v>0.09</v>
      </c>
      <c r="P9" s="9">
        <f t="shared" si="3"/>
        <v>13.919999999999998</v>
      </c>
      <c r="Q9" s="87">
        <v>44186</v>
      </c>
      <c r="R9" s="79">
        <f t="shared" si="4"/>
        <v>615069.11999999988</v>
      </c>
      <c r="S9" s="98">
        <f>SUM(R9:R16)</f>
        <v>5938598.4000000004</v>
      </c>
    </row>
    <row r="10" spans="1:19" ht="19.5" x14ac:dyDescent="0.25">
      <c r="A10" s="102"/>
      <c r="B10" s="6" t="s">
        <v>126</v>
      </c>
      <c r="C10" s="6" t="s">
        <v>127</v>
      </c>
      <c r="D10" s="7" t="s">
        <v>92</v>
      </c>
      <c r="E10" s="103" t="s">
        <v>134</v>
      </c>
      <c r="F10" s="104"/>
      <c r="G10" s="105"/>
      <c r="H10" s="83">
        <v>0.09</v>
      </c>
      <c r="I10" s="8">
        <v>15</v>
      </c>
      <c r="J10" s="8">
        <v>12</v>
      </c>
      <c r="K10" s="8">
        <v>9</v>
      </c>
      <c r="L10" s="8">
        <f t="shared" si="0"/>
        <v>12</v>
      </c>
      <c r="M10" s="9">
        <f t="shared" si="1"/>
        <v>1</v>
      </c>
      <c r="N10" s="9">
        <f t="shared" si="2"/>
        <v>104</v>
      </c>
      <c r="O10" s="86">
        <v>0.09</v>
      </c>
      <c r="P10" s="9">
        <f t="shared" si="3"/>
        <v>9.36</v>
      </c>
      <c r="Q10" s="87">
        <v>44186</v>
      </c>
      <c r="R10" s="79">
        <f t="shared" si="4"/>
        <v>413580.95999999996</v>
      </c>
      <c r="S10" s="99"/>
    </row>
    <row r="11" spans="1:19" ht="19.5" x14ac:dyDescent="0.25">
      <c r="A11" s="102"/>
      <c r="B11" s="6" t="s">
        <v>96</v>
      </c>
      <c r="C11" s="6" t="s">
        <v>129</v>
      </c>
      <c r="D11" s="7" t="s">
        <v>92</v>
      </c>
      <c r="E11" s="103" t="s">
        <v>135</v>
      </c>
      <c r="F11" s="104"/>
      <c r="G11" s="105"/>
      <c r="H11" s="83">
        <v>0.09</v>
      </c>
      <c r="I11" s="8">
        <v>15</v>
      </c>
      <c r="J11" s="8">
        <v>12</v>
      </c>
      <c r="K11" s="8">
        <v>9</v>
      </c>
      <c r="L11" s="8">
        <f t="shared" si="0"/>
        <v>12</v>
      </c>
      <c r="M11" s="9">
        <f t="shared" si="1"/>
        <v>1</v>
      </c>
      <c r="N11" s="9">
        <f t="shared" si="2"/>
        <v>104</v>
      </c>
      <c r="O11" s="86">
        <v>0.09</v>
      </c>
      <c r="P11" s="9">
        <f t="shared" si="3"/>
        <v>9.36</v>
      </c>
      <c r="Q11" s="87">
        <v>44186</v>
      </c>
      <c r="R11" s="79">
        <f t="shared" si="4"/>
        <v>413580.95999999996</v>
      </c>
      <c r="S11" s="99"/>
    </row>
    <row r="12" spans="1:19" ht="19.5" x14ac:dyDescent="0.25">
      <c r="A12" s="102"/>
      <c r="B12" s="6" t="s">
        <v>97</v>
      </c>
      <c r="C12" s="6" t="s">
        <v>128</v>
      </c>
      <c r="D12" s="7" t="s">
        <v>92</v>
      </c>
      <c r="E12" s="103" t="s">
        <v>133</v>
      </c>
      <c r="F12" s="104"/>
      <c r="G12" s="105"/>
      <c r="H12" s="83">
        <v>0.09</v>
      </c>
      <c r="I12" s="8">
        <v>36</v>
      </c>
      <c r="J12" s="8">
        <v>30</v>
      </c>
      <c r="K12" s="8">
        <v>24</v>
      </c>
      <c r="L12" s="8">
        <f t="shared" si="0"/>
        <v>30</v>
      </c>
      <c r="M12" s="9">
        <f t="shared" si="1"/>
        <v>2</v>
      </c>
      <c r="N12" s="9">
        <f t="shared" si="2"/>
        <v>256</v>
      </c>
      <c r="O12" s="86">
        <v>0.09</v>
      </c>
      <c r="P12" s="9">
        <f t="shared" si="3"/>
        <v>23.04</v>
      </c>
      <c r="Q12" s="87">
        <v>44186</v>
      </c>
      <c r="R12" s="79">
        <f t="shared" si="4"/>
        <v>1018045.4399999999</v>
      </c>
      <c r="S12" s="99"/>
    </row>
    <row r="13" spans="1:19" ht="19.5" x14ac:dyDescent="0.25">
      <c r="A13" s="102"/>
      <c r="B13" s="6" t="s">
        <v>98</v>
      </c>
      <c r="C13" s="6" t="s">
        <v>130</v>
      </c>
      <c r="D13" s="7" t="s">
        <v>92</v>
      </c>
      <c r="E13" s="103" t="s">
        <v>134</v>
      </c>
      <c r="F13" s="104"/>
      <c r="G13" s="105"/>
      <c r="H13" s="83">
        <v>0.09</v>
      </c>
      <c r="I13" s="8">
        <v>36</v>
      </c>
      <c r="J13" s="8">
        <v>30</v>
      </c>
      <c r="K13" s="8">
        <v>24</v>
      </c>
      <c r="L13" s="8">
        <f t="shared" si="0"/>
        <v>30</v>
      </c>
      <c r="M13" s="9">
        <f t="shared" si="1"/>
        <v>2</v>
      </c>
      <c r="N13" s="9">
        <f t="shared" si="2"/>
        <v>256</v>
      </c>
      <c r="O13" s="86">
        <v>0.09</v>
      </c>
      <c r="P13" s="9">
        <f t="shared" si="3"/>
        <v>23.04</v>
      </c>
      <c r="Q13" s="87">
        <v>44186</v>
      </c>
      <c r="R13" s="79">
        <f t="shared" si="4"/>
        <v>1018045.4399999999</v>
      </c>
      <c r="S13" s="99"/>
    </row>
    <row r="14" spans="1:19" ht="19.5" x14ac:dyDescent="0.25">
      <c r="A14" s="102"/>
      <c r="B14" s="6" t="s">
        <v>99</v>
      </c>
      <c r="C14" s="6" t="s">
        <v>130</v>
      </c>
      <c r="D14" s="7" t="s">
        <v>92</v>
      </c>
      <c r="E14" s="103" t="s">
        <v>135</v>
      </c>
      <c r="F14" s="104"/>
      <c r="G14" s="105"/>
      <c r="H14" s="83">
        <v>0.09</v>
      </c>
      <c r="I14" s="8">
        <v>15</v>
      </c>
      <c r="J14" s="8">
        <v>12</v>
      </c>
      <c r="K14" s="8">
        <v>9</v>
      </c>
      <c r="L14" s="8">
        <f t="shared" si="0"/>
        <v>12</v>
      </c>
      <c r="M14" s="9">
        <f t="shared" si="1"/>
        <v>1</v>
      </c>
      <c r="N14" s="9">
        <f t="shared" si="2"/>
        <v>104</v>
      </c>
      <c r="O14" s="86">
        <v>0.09</v>
      </c>
      <c r="P14" s="9">
        <f t="shared" si="3"/>
        <v>9.36</v>
      </c>
      <c r="Q14" s="87">
        <v>44186</v>
      </c>
      <c r="R14" s="79">
        <f t="shared" si="4"/>
        <v>413580.95999999996</v>
      </c>
      <c r="S14" s="99"/>
    </row>
    <row r="15" spans="1:19" ht="19.5" x14ac:dyDescent="0.25">
      <c r="A15" s="102"/>
      <c r="B15" s="6" t="s">
        <v>100</v>
      </c>
      <c r="C15" s="6" t="s">
        <v>131</v>
      </c>
      <c r="D15" s="7" t="s">
        <v>167</v>
      </c>
      <c r="E15" s="103" t="s">
        <v>133</v>
      </c>
      <c r="F15" s="104"/>
      <c r="G15" s="105"/>
      <c r="H15" s="83">
        <v>0.09</v>
      </c>
      <c r="I15" s="8">
        <v>15</v>
      </c>
      <c r="J15" s="8">
        <v>12</v>
      </c>
      <c r="K15" s="8">
        <v>9</v>
      </c>
      <c r="L15" s="8">
        <f t="shared" si="0"/>
        <v>12</v>
      </c>
      <c r="M15" s="9">
        <f t="shared" si="1"/>
        <v>1</v>
      </c>
      <c r="N15" s="9">
        <f t="shared" si="2"/>
        <v>104</v>
      </c>
      <c r="O15" s="86">
        <v>0.09</v>
      </c>
      <c r="P15" s="9">
        <f t="shared" si="3"/>
        <v>9.36</v>
      </c>
      <c r="Q15" s="87">
        <v>44186</v>
      </c>
      <c r="R15" s="79">
        <f t="shared" si="4"/>
        <v>413580.95999999996</v>
      </c>
      <c r="S15" s="99"/>
    </row>
    <row r="16" spans="1:19" ht="19.5" x14ac:dyDescent="0.25">
      <c r="A16" s="102"/>
      <c r="B16" s="6" t="s">
        <v>101</v>
      </c>
      <c r="C16" s="6" t="s">
        <v>132</v>
      </c>
      <c r="D16" s="7" t="s">
        <v>92</v>
      </c>
      <c r="E16" s="103" t="s">
        <v>134</v>
      </c>
      <c r="F16" s="104"/>
      <c r="G16" s="105"/>
      <c r="H16" s="83">
        <v>0.09</v>
      </c>
      <c r="I16" s="8">
        <v>58</v>
      </c>
      <c r="J16" s="8">
        <v>48</v>
      </c>
      <c r="K16" s="8">
        <v>38</v>
      </c>
      <c r="L16" s="8">
        <f t="shared" si="0"/>
        <v>48</v>
      </c>
      <c r="M16" s="9">
        <f t="shared" si="1"/>
        <v>3.3333333333333335</v>
      </c>
      <c r="N16" s="9">
        <f t="shared" si="2"/>
        <v>410.66666666666669</v>
      </c>
      <c r="O16" s="86">
        <v>0.09</v>
      </c>
      <c r="P16" s="9">
        <f t="shared" si="3"/>
        <v>36.96</v>
      </c>
      <c r="Q16" s="87">
        <v>44186</v>
      </c>
      <c r="R16" s="79">
        <f t="shared" si="4"/>
        <v>1633114.56</v>
      </c>
      <c r="S16" s="99"/>
    </row>
    <row r="17" spans="1:19" ht="19.5" x14ac:dyDescent="0.25">
      <c r="A17" s="101" t="s">
        <v>136</v>
      </c>
      <c r="B17" s="6" t="s">
        <v>102</v>
      </c>
      <c r="C17" s="6" t="s">
        <v>140</v>
      </c>
      <c r="D17" s="7" t="s">
        <v>92</v>
      </c>
      <c r="E17" s="103" t="s">
        <v>133</v>
      </c>
      <c r="F17" s="104"/>
      <c r="G17" s="105"/>
      <c r="H17" s="83">
        <v>0.09</v>
      </c>
      <c r="I17" s="8">
        <v>90</v>
      </c>
      <c r="J17" s="8">
        <v>78</v>
      </c>
      <c r="K17" s="8">
        <v>66</v>
      </c>
      <c r="L17" s="8">
        <f t="shared" ref="L17:L22" si="5">(I17+4*J17+K17)/6</f>
        <v>78</v>
      </c>
      <c r="M17" s="9">
        <f t="shared" ref="M17:M22" si="6">(I17-K17)/6</f>
        <v>4</v>
      </c>
      <c r="N17" s="9">
        <f t="shared" ref="N17:N22" si="7">(L17+M17)*8</f>
        <v>656</v>
      </c>
      <c r="O17" s="86">
        <v>0.09</v>
      </c>
      <c r="P17" s="9">
        <f t="shared" ref="P17:P22" si="8">N17*O17</f>
        <v>59.04</v>
      </c>
      <c r="Q17" s="87">
        <v>44186</v>
      </c>
      <c r="R17" s="79">
        <f t="shared" ref="R17:R22" si="9">Q17*P17</f>
        <v>2608741.44</v>
      </c>
      <c r="S17" s="98">
        <f>SUM(R17:R22)</f>
        <v>7295992.3199999994</v>
      </c>
    </row>
    <row r="18" spans="1:19" ht="19.5" x14ac:dyDescent="0.25">
      <c r="A18" s="102"/>
      <c r="B18" s="6" t="s">
        <v>103</v>
      </c>
      <c r="C18" s="6" t="s">
        <v>141</v>
      </c>
      <c r="D18" s="7" t="s">
        <v>92</v>
      </c>
      <c r="E18" s="103" t="s">
        <v>134</v>
      </c>
      <c r="F18" s="104"/>
      <c r="G18" s="105"/>
      <c r="H18" s="83">
        <v>0.09</v>
      </c>
      <c r="I18" s="8">
        <v>36</v>
      </c>
      <c r="J18" s="8">
        <v>30</v>
      </c>
      <c r="K18" s="8">
        <v>24</v>
      </c>
      <c r="L18" s="8">
        <f t="shared" si="5"/>
        <v>30</v>
      </c>
      <c r="M18" s="9">
        <f t="shared" si="6"/>
        <v>2</v>
      </c>
      <c r="N18" s="9">
        <f t="shared" si="7"/>
        <v>256</v>
      </c>
      <c r="O18" s="86">
        <v>0.09</v>
      </c>
      <c r="P18" s="9">
        <f t="shared" si="8"/>
        <v>23.04</v>
      </c>
      <c r="Q18" s="87">
        <v>44186</v>
      </c>
      <c r="R18" s="79">
        <f t="shared" si="9"/>
        <v>1018045.4399999999</v>
      </c>
      <c r="S18" s="99"/>
    </row>
    <row r="19" spans="1:19" ht="19.5" x14ac:dyDescent="0.25">
      <c r="A19" s="102"/>
      <c r="B19" s="6" t="s">
        <v>104</v>
      </c>
      <c r="C19" s="6" t="s">
        <v>142</v>
      </c>
      <c r="D19" s="7" t="s">
        <v>92</v>
      </c>
      <c r="E19" s="103" t="s">
        <v>135</v>
      </c>
      <c r="F19" s="104"/>
      <c r="G19" s="105"/>
      <c r="H19" s="83">
        <v>0.09</v>
      </c>
      <c r="I19" s="8">
        <v>36</v>
      </c>
      <c r="J19" s="8">
        <v>30</v>
      </c>
      <c r="K19" s="8">
        <v>24</v>
      </c>
      <c r="L19" s="8">
        <f t="shared" si="5"/>
        <v>30</v>
      </c>
      <c r="M19" s="9">
        <f t="shared" si="6"/>
        <v>2</v>
      </c>
      <c r="N19" s="9">
        <f t="shared" si="7"/>
        <v>256</v>
      </c>
      <c r="O19" s="86">
        <v>0.09</v>
      </c>
      <c r="P19" s="9">
        <f t="shared" si="8"/>
        <v>23.04</v>
      </c>
      <c r="Q19" s="87">
        <v>44186</v>
      </c>
      <c r="R19" s="79">
        <f t="shared" si="9"/>
        <v>1018045.4399999999</v>
      </c>
      <c r="S19" s="99"/>
    </row>
    <row r="20" spans="1:19" ht="19.5" x14ac:dyDescent="0.25">
      <c r="A20" s="102"/>
      <c r="B20" s="6" t="s">
        <v>105</v>
      </c>
      <c r="C20" s="6" t="s">
        <v>143</v>
      </c>
      <c r="D20" s="7" t="s">
        <v>92</v>
      </c>
      <c r="E20" s="103" t="s">
        <v>133</v>
      </c>
      <c r="F20" s="104"/>
      <c r="G20" s="105"/>
      <c r="H20" s="83">
        <v>0.09</v>
      </c>
      <c r="I20" s="8">
        <v>36</v>
      </c>
      <c r="J20" s="8">
        <v>30</v>
      </c>
      <c r="K20" s="8">
        <v>24</v>
      </c>
      <c r="L20" s="8">
        <f t="shared" si="5"/>
        <v>30</v>
      </c>
      <c r="M20" s="9">
        <f t="shared" si="6"/>
        <v>2</v>
      </c>
      <c r="N20" s="9">
        <f t="shared" si="7"/>
        <v>256</v>
      </c>
      <c r="O20" s="86">
        <v>0.09</v>
      </c>
      <c r="P20" s="9">
        <f t="shared" si="8"/>
        <v>23.04</v>
      </c>
      <c r="Q20" s="87">
        <v>44186</v>
      </c>
      <c r="R20" s="79">
        <f t="shared" si="9"/>
        <v>1018045.4399999999</v>
      </c>
      <c r="S20" s="99"/>
    </row>
    <row r="21" spans="1:19" ht="19.5" x14ac:dyDescent="0.25">
      <c r="A21" s="102"/>
      <c r="B21" s="6" t="s">
        <v>106</v>
      </c>
      <c r="C21" s="6" t="s">
        <v>144</v>
      </c>
      <c r="D21" s="7" t="s">
        <v>92</v>
      </c>
      <c r="E21" s="103" t="s">
        <v>134</v>
      </c>
      <c r="F21" s="104"/>
      <c r="G21" s="105"/>
      <c r="H21" s="83">
        <v>0.09</v>
      </c>
      <c r="I21" s="8">
        <v>36</v>
      </c>
      <c r="J21" s="8">
        <v>30</v>
      </c>
      <c r="K21" s="8">
        <v>24</v>
      </c>
      <c r="L21" s="8">
        <f t="shared" si="5"/>
        <v>30</v>
      </c>
      <c r="M21" s="9">
        <f t="shared" si="6"/>
        <v>2</v>
      </c>
      <c r="N21" s="9">
        <f t="shared" si="7"/>
        <v>256</v>
      </c>
      <c r="O21" s="86">
        <v>0.09</v>
      </c>
      <c r="P21" s="9">
        <f t="shared" si="8"/>
        <v>23.04</v>
      </c>
      <c r="Q21" s="87">
        <v>44186</v>
      </c>
      <c r="R21" s="79">
        <f t="shared" si="9"/>
        <v>1018045.4399999999</v>
      </c>
      <c r="S21" s="99"/>
    </row>
    <row r="22" spans="1:19" ht="19.5" x14ac:dyDescent="0.25">
      <c r="A22" s="102"/>
      <c r="B22" s="6" t="s">
        <v>107</v>
      </c>
      <c r="C22" s="6" t="s">
        <v>145</v>
      </c>
      <c r="D22" s="7" t="s">
        <v>92</v>
      </c>
      <c r="E22" s="103" t="s">
        <v>135</v>
      </c>
      <c r="F22" s="104"/>
      <c r="G22" s="105"/>
      <c r="H22" s="83">
        <v>0.09</v>
      </c>
      <c r="I22" s="8">
        <v>22</v>
      </c>
      <c r="J22" s="8">
        <v>18</v>
      </c>
      <c r="K22" s="8">
        <v>14</v>
      </c>
      <c r="L22" s="8">
        <f t="shared" si="5"/>
        <v>18</v>
      </c>
      <c r="M22" s="9">
        <f t="shared" si="6"/>
        <v>1.3333333333333333</v>
      </c>
      <c r="N22" s="9">
        <f t="shared" si="7"/>
        <v>154.66666666666666</v>
      </c>
      <c r="O22" s="86">
        <v>0.09</v>
      </c>
      <c r="P22" s="9">
        <f t="shared" si="8"/>
        <v>13.919999999999998</v>
      </c>
      <c r="Q22" s="87">
        <v>44186</v>
      </c>
      <c r="R22" s="79">
        <f t="shared" si="9"/>
        <v>615069.11999999988</v>
      </c>
      <c r="S22" s="100"/>
    </row>
    <row r="23" spans="1:19" ht="19.5" x14ac:dyDescent="0.25">
      <c r="A23" s="101" t="s">
        <v>139</v>
      </c>
      <c r="B23" s="6" t="s">
        <v>137</v>
      </c>
      <c r="C23" s="6" t="s">
        <v>150</v>
      </c>
      <c r="D23" s="7" t="s">
        <v>92</v>
      </c>
      <c r="E23" s="103" t="s">
        <v>133</v>
      </c>
      <c r="F23" s="104"/>
      <c r="G23" s="105"/>
      <c r="H23" s="83">
        <v>0.09</v>
      </c>
      <c r="I23" s="8">
        <v>58</v>
      </c>
      <c r="J23" s="8">
        <v>48</v>
      </c>
      <c r="K23" s="8">
        <v>38</v>
      </c>
      <c r="L23" s="8">
        <f t="shared" ref="L23:L28" si="10">(I23+4*J23+K23)/6</f>
        <v>48</v>
      </c>
      <c r="M23" s="9">
        <f t="shared" ref="M23:M28" si="11">(I23-K23)/6</f>
        <v>3.3333333333333335</v>
      </c>
      <c r="N23" s="9">
        <f t="shared" ref="N23:N28" si="12">(L23+M23)*8</f>
        <v>410.66666666666669</v>
      </c>
      <c r="O23" s="86">
        <v>0.09</v>
      </c>
      <c r="P23" s="9">
        <f t="shared" ref="P23:P28" si="13">N23*O23</f>
        <v>36.96</v>
      </c>
      <c r="Q23" s="87">
        <v>44186</v>
      </c>
      <c r="R23" s="79">
        <f t="shared" ref="R23:R28" si="14">Q23*P23</f>
        <v>1633114.56</v>
      </c>
      <c r="S23" s="98">
        <f>SUM(R23:R28)</f>
        <v>8568549.1199999992</v>
      </c>
    </row>
    <row r="24" spans="1:19" ht="19.5" x14ac:dyDescent="0.25">
      <c r="A24" s="102"/>
      <c r="B24" s="6" t="s">
        <v>138</v>
      </c>
      <c r="C24" s="6" t="s">
        <v>151</v>
      </c>
      <c r="D24" s="7" t="s">
        <v>92</v>
      </c>
      <c r="E24" s="103" t="s">
        <v>134</v>
      </c>
      <c r="F24" s="104"/>
      <c r="G24" s="105"/>
      <c r="H24" s="83">
        <v>0.09</v>
      </c>
      <c r="I24" s="8">
        <v>58</v>
      </c>
      <c r="J24" s="8">
        <v>48</v>
      </c>
      <c r="K24" s="8">
        <v>38</v>
      </c>
      <c r="L24" s="8">
        <f t="shared" si="10"/>
        <v>48</v>
      </c>
      <c r="M24" s="9">
        <f t="shared" si="11"/>
        <v>3.3333333333333335</v>
      </c>
      <c r="N24" s="9">
        <f t="shared" si="12"/>
        <v>410.66666666666669</v>
      </c>
      <c r="O24" s="86">
        <v>0.09</v>
      </c>
      <c r="P24" s="9">
        <f t="shared" si="13"/>
        <v>36.96</v>
      </c>
      <c r="Q24" s="87">
        <v>44186</v>
      </c>
      <c r="R24" s="79">
        <f t="shared" si="14"/>
        <v>1633114.56</v>
      </c>
      <c r="S24" s="99"/>
    </row>
    <row r="25" spans="1:19" ht="19.5" x14ac:dyDescent="0.25">
      <c r="A25" s="102"/>
      <c r="B25" s="6" t="s">
        <v>146</v>
      </c>
      <c r="C25" s="6" t="s">
        <v>152</v>
      </c>
      <c r="D25" s="7" t="s">
        <v>92</v>
      </c>
      <c r="E25" s="103" t="s">
        <v>135</v>
      </c>
      <c r="F25" s="104"/>
      <c r="G25" s="105"/>
      <c r="H25" s="83">
        <v>0.09</v>
      </c>
      <c r="I25" s="8">
        <v>58</v>
      </c>
      <c r="J25" s="8">
        <v>48</v>
      </c>
      <c r="K25" s="8">
        <v>38</v>
      </c>
      <c r="L25" s="8">
        <f t="shared" si="10"/>
        <v>48</v>
      </c>
      <c r="M25" s="9">
        <f t="shared" si="11"/>
        <v>3.3333333333333335</v>
      </c>
      <c r="N25" s="9">
        <f t="shared" si="12"/>
        <v>410.66666666666669</v>
      </c>
      <c r="O25" s="86">
        <v>0.09</v>
      </c>
      <c r="P25" s="9">
        <f t="shared" si="13"/>
        <v>36.96</v>
      </c>
      <c r="Q25" s="87">
        <v>44186</v>
      </c>
      <c r="R25" s="79">
        <f t="shared" si="14"/>
        <v>1633114.56</v>
      </c>
      <c r="S25" s="99"/>
    </row>
    <row r="26" spans="1:19" ht="19.5" x14ac:dyDescent="0.25">
      <c r="A26" s="102"/>
      <c r="B26" s="6" t="s">
        <v>147</v>
      </c>
      <c r="C26" s="6" t="s">
        <v>153</v>
      </c>
      <c r="D26" s="7" t="s">
        <v>92</v>
      </c>
      <c r="E26" s="103" t="s">
        <v>133</v>
      </c>
      <c r="F26" s="104"/>
      <c r="G26" s="105"/>
      <c r="H26" s="83">
        <v>0.09</v>
      </c>
      <c r="I26" s="8">
        <v>36</v>
      </c>
      <c r="J26" s="8">
        <v>30</v>
      </c>
      <c r="K26" s="8">
        <v>24</v>
      </c>
      <c r="L26" s="8">
        <f t="shared" si="10"/>
        <v>30</v>
      </c>
      <c r="M26" s="9">
        <f t="shared" si="11"/>
        <v>2</v>
      </c>
      <c r="N26" s="9">
        <f t="shared" si="12"/>
        <v>256</v>
      </c>
      <c r="O26" s="86">
        <v>0.09</v>
      </c>
      <c r="P26" s="9">
        <f t="shared" si="13"/>
        <v>23.04</v>
      </c>
      <c r="Q26" s="87">
        <v>44186</v>
      </c>
      <c r="R26" s="79">
        <f t="shared" si="14"/>
        <v>1018045.4399999999</v>
      </c>
      <c r="S26" s="99"/>
    </row>
    <row r="27" spans="1:19" ht="19.5" x14ac:dyDescent="0.25">
      <c r="A27" s="102"/>
      <c r="B27" s="6" t="s">
        <v>148</v>
      </c>
      <c r="C27" s="6" t="s">
        <v>154</v>
      </c>
      <c r="D27" s="7" t="s">
        <v>92</v>
      </c>
      <c r="E27" s="103" t="s">
        <v>134</v>
      </c>
      <c r="F27" s="104"/>
      <c r="G27" s="105"/>
      <c r="H27" s="83">
        <v>0.09</v>
      </c>
      <c r="I27" s="8">
        <v>36</v>
      </c>
      <c r="J27" s="8">
        <v>30</v>
      </c>
      <c r="K27" s="8">
        <v>24</v>
      </c>
      <c r="L27" s="8">
        <f t="shared" si="10"/>
        <v>30</v>
      </c>
      <c r="M27" s="9">
        <f t="shared" si="11"/>
        <v>2</v>
      </c>
      <c r="N27" s="9">
        <f t="shared" si="12"/>
        <v>256</v>
      </c>
      <c r="O27" s="86">
        <v>0.09</v>
      </c>
      <c r="P27" s="9">
        <f t="shared" si="13"/>
        <v>23.04</v>
      </c>
      <c r="Q27" s="87">
        <v>44186</v>
      </c>
      <c r="R27" s="79">
        <f t="shared" si="14"/>
        <v>1018045.4399999999</v>
      </c>
      <c r="S27" s="99"/>
    </row>
    <row r="28" spans="1:19" ht="19.5" x14ac:dyDescent="0.25">
      <c r="A28" s="102"/>
      <c r="B28" s="6" t="s">
        <v>149</v>
      </c>
      <c r="C28" s="6" t="s">
        <v>155</v>
      </c>
      <c r="D28" s="7" t="s">
        <v>92</v>
      </c>
      <c r="E28" s="103" t="s">
        <v>135</v>
      </c>
      <c r="F28" s="104"/>
      <c r="G28" s="105"/>
      <c r="H28" s="83">
        <v>0.09</v>
      </c>
      <c r="I28" s="8">
        <v>58</v>
      </c>
      <c r="J28" s="8">
        <v>48</v>
      </c>
      <c r="K28" s="8">
        <v>38</v>
      </c>
      <c r="L28" s="8">
        <f t="shared" si="10"/>
        <v>48</v>
      </c>
      <c r="M28" s="9">
        <f t="shared" si="11"/>
        <v>3.3333333333333335</v>
      </c>
      <c r="N28" s="9">
        <f t="shared" si="12"/>
        <v>410.66666666666669</v>
      </c>
      <c r="O28" s="86">
        <v>0.09</v>
      </c>
      <c r="P28" s="9">
        <f t="shared" si="13"/>
        <v>36.96</v>
      </c>
      <c r="Q28" s="87">
        <v>44186</v>
      </c>
      <c r="R28" s="79">
        <f t="shared" si="14"/>
        <v>1633114.56</v>
      </c>
      <c r="S28" s="100"/>
    </row>
    <row r="29" spans="1:19" ht="19.5" x14ac:dyDescent="0.25">
      <c r="A29" s="116" t="s">
        <v>156</v>
      </c>
      <c r="B29" s="80" t="s">
        <v>157</v>
      </c>
      <c r="C29" s="6" t="s">
        <v>162</v>
      </c>
      <c r="D29" s="7" t="s">
        <v>92</v>
      </c>
      <c r="E29" s="103" t="s">
        <v>133</v>
      </c>
      <c r="F29" s="104"/>
      <c r="G29" s="105"/>
      <c r="H29" s="83">
        <v>0.09</v>
      </c>
      <c r="I29" s="8">
        <v>22</v>
      </c>
      <c r="J29" s="8">
        <v>18</v>
      </c>
      <c r="K29" s="8">
        <v>14</v>
      </c>
      <c r="L29" s="8">
        <f>(I29+4*J29+K29)/6</f>
        <v>18</v>
      </c>
      <c r="M29" s="9">
        <f>(I29-K29)/6</f>
        <v>1.3333333333333333</v>
      </c>
      <c r="N29" s="9">
        <f>(L29+M29)*8</f>
        <v>154.66666666666666</v>
      </c>
      <c r="O29" s="86">
        <v>0.09</v>
      </c>
      <c r="P29" s="9">
        <f>N29*O29</f>
        <v>13.919999999999998</v>
      </c>
      <c r="Q29" s="87">
        <v>44186</v>
      </c>
      <c r="R29" s="79">
        <f>Q29*P29</f>
        <v>615069.11999999988</v>
      </c>
      <c r="S29" s="98">
        <f>SUM(R29:R33)</f>
        <v>3478321.92</v>
      </c>
    </row>
    <row r="30" spans="1:19" ht="19.5" x14ac:dyDescent="0.25">
      <c r="A30" s="117"/>
      <c r="B30" s="80" t="s">
        <v>158</v>
      </c>
      <c r="C30" s="6" t="s">
        <v>163</v>
      </c>
      <c r="D30" s="7" t="s">
        <v>92</v>
      </c>
      <c r="E30" s="103" t="s">
        <v>134</v>
      </c>
      <c r="F30" s="104"/>
      <c r="G30" s="105"/>
      <c r="H30" s="83">
        <v>0.09</v>
      </c>
      <c r="I30" s="8">
        <v>36</v>
      </c>
      <c r="J30" s="8">
        <v>30</v>
      </c>
      <c r="K30" s="8">
        <v>24</v>
      </c>
      <c r="L30" s="8">
        <f>(I30+4*J30+K30)/6</f>
        <v>30</v>
      </c>
      <c r="M30" s="9">
        <f>(I30-K30)/6</f>
        <v>2</v>
      </c>
      <c r="N30" s="9">
        <f>(L30+M30)*8</f>
        <v>256</v>
      </c>
      <c r="O30" s="86">
        <v>0.09</v>
      </c>
      <c r="P30" s="9">
        <f>N30*O30</f>
        <v>23.04</v>
      </c>
      <c r="Q30" s="87">
        <v>44186</v>
      </c>
      <c r="R30" s="79">
        <f>Q30*P30</f>
        <v>1018045.4399999999</v>
      </c>
      <c r="S30" s="99"/>
    </row>
    <row r="31" spans="1:19" ht="19.5" x14ac:dyDescent="0.25">
      <c r="A31" s="117"/>
      <c r="B31" s="80" t="s">
        <v>159</v>
      </c>
      <c r="C31" s="6" t="s">
        <v>164</v>
      </c>
      <c r="D31" s="7" t="s">
        <v>92</v>
      </c>
      <c r="E31" s="103" t="s">
        <v>135</v>
      </c>
      <c r="F31" s="104"/>
      <c r="G31" s="105"/>
      <c r="H31" s="83">
        <v>0.09</v>
      </c>
      <c r="I31" s="8">
        <v>36</v>
      </c>
      <c r="J31" s="8">
        <v>30</v>
      </c>
      <c r="K31" s="8">
        <v>24</v>
      </c>
      <c r="L31" s="8">
        <f>(I31+4*J31+K31)/6</f>
        <v>30</v>
      </c>
      <c r="M31" s="9">
        <f>(I31-K31)/6</f>
        <v>2</v>
      </c>
      <c r="N31" s="9">
        <f>(L31+M31)*8</f>
        <v>256</v>
      </c>
      <c r="O31" s="86">
        <v>0.09</v>
      </c>
      <c r="P31" s="9">
        <f>N31*O31</f>
        <v>23.04</v>
      </c>
      <c r="Q31" s="87">
        <v>44186</v>
      </c>
      <c r="R31" s="79">
        <f>Q31*P31</f>
        <v>1018045.4399999999</v>
      </c>
      <c r="S31" s="99"/>
    </row>
    <row r="32" spans="1:19" ht="19.5" x14ac:dyDescent="0.25">
      <c r="A32" s="117"/>
      <c r="B32" s="80" t="s">
        <v>160</v>
      </c>
      <c r="C32" s="6" t="s">
        <v>165</v>
      </c>
      <c r="D32" s="7" t="s">
        <v>92</v>
      </c>
      <c r="E32" s="103" t="s">
        <v>133</v>
      </c>
      <c r="F32" s="104"/>
      <c r="G32" s="105"/>
      <c r="H32" s="83">
        <v>0.09</v>
      </c>
      <c r="I32" s="8">
        <v>8</v>
      </c>
      <c r="J32" s="8">
        <v>6</v>
      </c>
      <c r="K32" s="8">
        <v>4</v>
      </c>
      <c r="L32" s="8">
        <f>(I32+4*J32+K32)/6</f>
        <v>6</v>
      </c>
      <c r="M32" s="9">
        <f>(I32-K32)/6</f>
        <v>0.66666666666666663</v>
      </c>
      <c r="N32" s="9">
        <f>(L32+M32)*8</f>
        <v>53.333333333333336</v>
      </c>
      <c r="O32" s="86">
        <v>0.09</v>
      </c>
      <c r="P32" s="9">
        <f>N32*O32</f>
        <v>4.8</v>
      </c>
      <c r="Q32" s="87">
        <v>44186</v>
      </c>
      <c r="R32" s="79">
        <f>Q32*P32</f>
        <v>212092.79999999999</v>
      </c>
      <c r="S32" s="99"/>
    </row>
    <row r="33" spans="1:19" ht="19.5" x14ac:dyDescent="0.25">
      <c r="A33" s="117"/>
      <c r="B33" s="80" t="s">
        <v>161</v>
      </c>
      <c r="C33" s="6" t="s">
        <v>166</v>
      </c>
      <c r="D33" s="7" t="s">
        <v>92</v>
      </c>
      <c r="E33" s="103" t="s">
        <v>134</v>
      </c>
      <c r="F33" s="104"/>
      <c r="G33" s="105"/>
      <c r="H33" s="83">
        <v>0.09</v>
      </c>
      <c r="I33" s="8">
        <v>22</v>
      </c>
      <c r="J33" s="8">
        <v>18</v>
      </c>
      <c r="K33" s="8">
        <v>14</v>
      </c>
      <c r="L33" s="8">
        <f>(I33+4*J33+K33)/6</f>
        <v>18</v>
      </c>
      <c r="M33" s="9">
        <f>(I33-K33)/6</f>
        <v>1.3333333333333333</v>
      </c>
      <c r="N33" s="9">
        <f>(L33+M33)*8</f>
        <v>154.66666666666666</v>
      </c>
      <c r="O33" s="86">
        <v>0.09</v>
      </c>
      <c r="P33" s="9">
        <f>N33*O33</f>
        <v>13.919999999999998</v>
      </c>
      <c r="Q33" s="87">
        <v>44186</v>
      </c>
      <c r="R33" s="79">
        <f>Q33*P33</f>
        <v>615069.11999999988</v>
      </c>
      <c r="S33" s="100"/>
    </row>
    <row r="34" spans="1:19" ht="15.75" customHeight="1" x14ac:dyDescent="0.25">
      <c r="S34" s="93">
        <f>SUM(S3:S33)</f>
        <v>26902541.759999998</v>
      </c>
    </row>
    <row r="35" spans="1:19" ht="15.75" customHeight="1" x14ac:dyDescent="0.25"/>
    <row r="36" spans="1:19" ht="15.75" customHeight="1" x14ac:dyDescent="0.25"/>
    <row r="37" spans="1:19" ht="15.75" customHeight="1" x14ac:dyDescent="0.25"/>
    <row r="38" spans="1:19" ht="15.75" customHeight="1" x14ac:dyDescent="0.25"/>
    <row r="39" spans="1:19" ht="15.75" customHeight="1" x14ac:dyDescent="0.25"/>
    <row r="40" spans="1:19" ht="15.75" customHeight="1" x14ac:dyDescent="0.25"/>
    <row r="41" spans="1:19" ht="15.75" customHeight="1" x14ac:dyDescent="0.25"/>
    <row r="42" spans="1:19" ht="15.75" customHeight="1" x14ac:dyDescent="0.25"/>
    <row r="43" spans="1:19" ht="15.75" customHeight="1" x14ac:dyDescent="0.25"/>
    <row r="44" spans="1:19" ht="15.75" customHeight="1" x14ac:dyDescent="0.25"/>
    <row r="45" spans="1:19" ht="15.75" customHeight="1" x14ac:dyDescent="0.25"/>
    <row r="46" spans="1:19" ht="15.75" customHeight="1" x14ac:dyDescent="0.25"/>
    <row r="47" spans="1:19" ht="15.75" customHeight="1" x14ac:dyDescent="0.25"/>
    <row r="48" spans="1:1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</sheetData>
  <mergeCells count="44">
    <mergeCell ref="A17:A22"/>
    <mergeCell ref="E17:G17"/>
    <mergeCell ref="E18:G18"/>
    <mergeCell ref="E19:G19"/>
    <mergeCell ref="E20:G20"/>
    <mergeCell ref="E21:G21"/>
    <mergeCell ref="E22:G22"/>
    <mergeCell ref="A29:A33"/>
    <mergeCell ref="E29:G29"/>
    <mergeCell ref="E30:G30"/>
    <mergeCell ref="E31:G31"/>
    <mergeCell ref="E32:G32"/>
    <mergeCell ref="E33:G33"/>
    <mergeCell ref="S3:S8"/>
    <mergeCell ref="S9:S16"/>
    <mergeCell ref="A1:P1"/>
    <mergeCell ref="Q1:S1"/>
    <mergeCell ref="E2:G2"/>
    <mergeCell ref="A3:A8"/>
    <mergeCell ref="E3:G3"/>
    <mergeCell ref="E4:G4"/>
    <mergeCell ref="E5:G5"/>
    <mergeCell ref="E6:G6"/>
    <mergeCell ref="E7:G7"/>
    <mergeCell ref="E8:G8"/>
    <mergeCell ref="E11:G11"/>
    <mergeCell ref="E14:G14"/>
    <mergeCell ref="E12:G12"/>
    <mergeCell ref="S17:S22"/>
    <mergeCell ref="S23:S28"/>
    <mergeCell ref="S29:S33"/>
    <mergeCell ref="A9:A16"/>
    <mergeCell ref="E9:G9"/>
    <mergeCell ref="E10:G10"/>
    <mergeCell ref="E13:G13"/>
    <mergeCell ref="E15:G15"/>
    <mergeCell ref="E16:G16"/>
    <mergeCell ref="E24:G24"/>
    <mergeCell ref="E25:G25"/>
    <mergeCell ref="E26:G26"/>
    <mergeCell ref="E27:G27"/>
    <mergeCell ref="E28:G28"/>
    <mergeCell ref="A23:A28"/>
    <mergeCell ref="E23:G23"/>
  </mergeCells>
  <phoneticPr fontId="23" type="noConversion"/>
  <pageMargins left="0.70866141732283472" right="0.70866141732283472" top="0.74803149606299213" bottom="0.74803149606299213" header="0" footer="0"/>
  <pageSetup paperSize="9" orientation="landscape" r:id="rId1"/>
  <ignoredErrors>
    <ignoredError sqref="R3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983"/>
  <sheetViews>
    <sheetView topLeftCell="A37" zoomScale="89" zoomScaleNormal="89" workbookViewId="0">
      <selection activeCell="D55" sqref="D55"/>
    </sheetView>
  </sheetViews>
  <sheetFormatPr baseColWidth="10" defaultColWidth="14.42578125" defaultRowHeight="15" customHeight="1" x14ac:dyDescent="0.25"/>
  <cols>
    <col min="1" max="1" width="53.42578125" customWidth="1"/>
    <col min="2" max="2" width="24.7109375" customWidth="1"/>
    <col min="3" max="3" width="12.140625" bestFit="1" customWidth="1"/>
    <col min="4" max="4" width="13.85546875" customWidth="1"/>
    <col min="5" max="5" width="17.42578125" customWidth="1"/>
    <col min="6" max="6" width="13.7109375" customWidth="1"/>
    <col min="7" max="7" width="10.7109375" customWidth="1"/>
    <col min="8" max="8" width="16.28515625" customWidth="1"/>
    <col min="9" max="26" width="10.7109375" customWidth="1"/>
  </cols>
  <sheetData>
    <row r="2" spans="1:8" x14ac:dyDescent="0.25">
      <c r="A2" s="13" t="s">
        <v>23</v>
      </c>
      <c r="B2" s="14">
        <v>0.02</v>
      </c>
      <c r="C2" s="15"/>
      <c r="D2" s="15"/>
      <c r="E2" s="16"/>
      <c r="F2" s="16"/>
      <c r="G2" s="16"/>
      <c r="H2" s="16"/>
    </row>
    <row r="3" spans="1:8" x14ac:dyDescent="0.25">
      <c r="A3" s="13" t="s">
        <v>24</v>
      </c>
      <c r="B3" s="17">
        <v>5.8</v>
      </c>
      <c r="C3" s="16"/>
      <c r="D3" s="16"/>
      <c r="E3" s="16"/>
      <c r="F3" s="16"/>
      <c r="G3" s="16"/>
      <c r="H3" s="16"/>
    </row>
    <row r="4" spans="1:8" x14ac:dyDescent="0.25">
      <c r="A4" s="13" t="s">
        <v>25</v>
      </c>
      <c r="B4" s="14">
        <v>0.05</v>
      </c>
      <c r="C4" s="16"/>
      <c r="D4" s="16"/>
      <c r="E4" s="16"/>
      <c r="F4" s="16"/>
      <c r="G4" s="16"/>
      <c r="H4" s="16"/>
    </row>
    <row r="5" spans="1:8" x14ac:dyDescent="0.25">
      <c r="A5" s="13" t="s">
        <v>26</v>
      </c>
      <c r="B5" s="17">
        <v>160</v>
      </c>
      <c r="C5" s="16"/>
      <c r="D5" s="16"/>
      <c r="E5" s="16"/>
      <c r="F5" s="16"/>
      <c r="G5" s="16"/>
      <c r="H5" s="16"/>
    </row>
    <row r="6" spans="1:8" x14ac:dyDescent="0.25">
      <c r="A6" s="16"/>
      <c r="B6" s="16"/>
      <c r="C6" s="16"/>
      <c r="D6" s="16"/>
      <c r="E6" s="16"/>
      <c r="F6" s="16"/>
      <c r="G6" s="16"/>
      <c r="H6" s="16"/>
    </row>
    <row r="7" spans="1:8" x14ac:dyDescent="0.25">
      <c r="A7" s="132" t="s">
        <v>27</v>
      </c>
      <c r="B7" s="133"/>
      <c r="C7" s="133"/>
      <c r="D7" s="133"/>
      <c r="E7" s="133"/>
      <c r="F7" s="133"/>
      <c r="G7" s="133"/>
      <c r="H7" s="134"/>
    </row>
    <row r="8" spans="1:8" x14ac:dyDescent="0.25">
      <c r="A8" s="135" t="s">
        <v>28</v>
      </c>
      <c r="B8" s="136"/>
      <c r="C8" s="136"/>
      <c r="D8" s="136"/>
      <c r="E8" s="136"/>
      <c r="F8" s="136"/>
      <c r="G8" s="136"/>
      <c r="H8" s="137"/>
    </row>
    <row r="9" spans="1:8" ht="25.5" x14ac:dyDescent="0.25">
      <c r="A9" s="18" t="s">
        <v>29</v>
      </c>
      <c r="B9" s="19" t="s">
        <v>30</v>
      </c>
      <c r="C9" s="19" t="s">
        <v>31</v>
      </c>
      <c r="D9" s="19" t="s">
        <v>32</v>
      </c>
      <c r="E9" s="19" t="s">
        <v>33</v>
      </c>
      <c r="F9" s="19" t="s">
        <v>34</v>
      </c>
      <c r="G9" s="20" t="s">
        <v>35</v>
      </c>
      <c r="H9" s="21" t="s">
        <v>36</v>
      </c>
    </row>
    <row r="10" spans="1:8" x14ac:dyDescent="0.25">
      <c r="A10" s="22" t="s">
        <v>37</v>
      </c>
      <c r="B10" s="23">
        <v>3</v>
      </c>
      <c r="C10" s="24">
        <v>4500000</v>
      </c>
      <c r="D10" s="25">
        <v>60000</v>
      </c>
      <c r="E10" s="26">
        <f t="shared" ref="E10:E15" si="0">(C10+D10)*0.52</f>
        <v>2371200</v>
      </c>
      <c r="F10" s="26">
        <f t="shared" ref="F10:F15" si="1">(C10+E10+D10)*(1+$B$2)</f>
        <v>7069824</v>
      </c>
      <c r="G10" s="27">
        <f t="shared" ref="G10:G15" si="2">F10/$B$5</f>
        <v>44186.400000000001</v>
      </c>
      <c r="H10" s="28">
        <f t="shared" ref="H10:H15" si="3">F10*B10</f>
        <v>21209472</v>
      </c>
    </row>
    <row r="11" spans="1:8" x14ac:dyDescent="0.25">
      <c r="A11" s="22" t="s">
        <v>38</v>
      </c>
      <c r="B11" s="23">
        <v>0</v>
      </c>
      <c r="C11" s="24">
        <v>9000000</v>
      </c>
      <c r="D11" s="25">
        <v>70000</v>
      </c>
      <c r="E11" s="26">
        <f t="shared" si="0"/>
        <v>4716400</v>
      </c>
      <c r="F11" s="26">
        <f t="shared" si="1"/>
        <v>14062128</v>
      </c>
      <c r="G11" s="27">
        <f t="shared" si="2"/>
        <v>87888.3</v>
      </c>
      <c r="H11" s="28">
        <f t="shared" si="3"/>
        <v>0</v>
      </c>
    </row>
    <row r="12" spans="1:8" x14ac:dyDescent="0.25">
      <c r="A12" s="22" t="s">
        <v>39</v>
      </c>
      <c r="B12" s="23">
        <v>1</v>
      </c>
      <c r="C12" s="24">
        <v>7500000</v>
      </c>
      <c r="D12" s="25">
        <v>70000</v>
      </c>
      <c r="E12" s="26">
        <f t="shared" si="0"/>
        <v>3936400</v>
      </c>
      <c r="F12" s="26">
        <f t="shared" si="1"/>
        <v>11736528</v>
      </c>
      <c r="G12" s="27">
        <f t="shared" si="2"/>
        <v>73353.3</v>
      </c>
      <c r="H12" s="28">
        <f t="shared" si="3"/>
        <v>11736528</v>
      </c>
    </row>
    <row r="13" spans="1:8" x14ac:dyDescent="0.25">
      <c r="A13" s="22" t="s">
        <v>40</v>
      </c>
      <c r="B13" s="23">
        <v>0</v>
      </c>
      <c r="C13" s="24">
        <v>11000000</v>
      </c>
      <c r="D13" s="25">
        <v>60000</v>
      </c>
      <c r="E13" s="26">
        <f t="shared" si="0"/>
        <v>5751200</v>
      </c>
      <c r="F13" s="26">
        <f t="shared" si="1"/>
        <v>17147424</v>
      </c>
      <c r="G13" s="27">
        <f t="shared" si="2"/>
        <v>107171.4</v>
      </c>
      <c r="H13" s="28">
        <f t="shared" si="3"/>
        <v>0</v>
      </c>
    </row>
    <row r="14" spans="1:8" x14ac:dyDescent="0.25">
      <c r="A14" s="22" t="s">
        <v>41</v>
      </c>
      <c r="B14" s="29">
        <v>0</v>
      </c>
      <c r="C14" s="24">
        <v>5000000</v>
      </c>
      <c r="D14" s="25">
        <v>70000</v>
      </c>
      <c r="E14" s="26">
        <f t="shared" si="0"/>
        <v>2636400</v>
      </c>
      <c r="F14" s="26">
        <f t="shared" si="1"/>
        <v>7860528</v>
      </c>
      <c r="G14" s="27">
        <f t="shared" si="2"/>
        <v>49128.3</v>
      </c>
      <c r="H14" s="28">
        <f t="shared" si="3"/>
        <v>0</v>
      </c>
    </row>
    <row r="15" spans="1:8" x14ac:dyDescent="0.25">
      <c r="A15" s="22" t="s">
        <v>42</v>
      </c>
      <c r="B15" s="29">
        <v>0</v>
      </c>
      <c r="C15" s="24">
        <v>4500000</v>
      </c>
      <c r="D15" s="25">
        <v>100000</v>
      </c>
      <c r="E15" s="26">
        <f t="shared" si="0"/>
        <v>2392000</v>
      </c>
      <c r="F15" s="26">
        <f t="shared" si="1"/>
        <v>7131840</v>
      </c>
      <c r="G15" s="27">
        <f t="shared" si="2"/>
        <v>44574</v>
      </c>
      <c r="H15" s="28">
        <f t="shared" si="3"/>
        <v>0</v>
      </c>
    </row>
    <row r="16" spans="1:8" x14ac:dyDescent="0.25">
      <c r="A16" s="22" t="s">
        <v>91</v>
      </c>
      <c r="B16" s="23">
        <v>2</v>
      </c>
      <c r="C16" s="24">
        <v>4500000</v>
      </c>
      <c r="D16" s="25">
        <v>100000</v>
      </c>
      <c r="E16" s="26">
        <f>(C16+D16)*0.52</f>
        <v>2392000</v>
      </c>
      <c r="F16" s="26">
        <f>(C16+E16+D16)*(1+$B$2)</f>
        <v>7131840</v>
      </c>
      <c r="G16" s="27">
        <f>F16/$B$5</f>
        <v>44574</v>
      </c>
      <c r="H16" s="28">
        <f>F16*B16</f>
        <v>14263680</v>
      </c>
    </row>
    <row r="17" spans="1:8" x14ac:dyDescent="0.25">
      <c r="A17" s="22"/>
      <c r="B17" s="23"/>
      <c r="C17" s="24"/>
      <c r="D17" s="25"/>
      <c r="E17" s="26"/>
      <c r="F17" s="26"/>
      <c r="G17" s="27"/>
      <c r="H17" s="28"/>
    </row>
    <row r="18" spans="1:8" x14ac:dyDescent="0.25">
      <c r="A18" s="22"/>
      <c r="B18" s="23"/>
      <c r="C18" s="24"/>
      <c r="D18" s="25"/>
      <c r="E18" s="26"/>
      <c r="F18" s="26"/>
      <c r="G18" s="27"/>
      <c r="H18" s="28"/>
    </row>
    <row r="19" spans="1:8" x14ac:dyDescent="0.25">
      <c r="A19" s="30"/>
      <c r="B19" s="31"/>
      <c r="C19" s="32"/>
      <c r="D19" s="32" t="s">
        <v>43</v>
      </c>
      <c r="E19" s="26"/>
      <c r="F19" s="26"/>
      <c r="G19" s="27"/>
      <c r="H19" s="28"/>
    </row>
    <row r="20" spans="1:8" x14ac:dyDescent="0.25">
      <c r="A20" s="30"/>
      <c r="B20" s="31"/>
      <c r="C20" s="32"/>
      <c r="D20" s="32"/>
      <c r="E20" s="26"/>
      <c r="F20" s="26"/>
      <c r="G20" s="27"/>
      <c r="H20" s="28"/>
    </row>
    <row r="21" spans="1:8" ht="15.75" customHeight="1" x14ac:dyDescent="0.25">
      <c r="A21" s="30"/>
      <c r="B21" s="23"/>
      <c r="C21" s="32"/>
      <c r="D21" s="32"/>
      <c r="E21" s="26"/>
      <c r="F21" s="26"/>
      <c r="G21" s="27"/>
      <c r="H21" s="28"/>
    </row>
    <row r="22" spans="1:8" ht="15.75" customHeight="1" x14ac:dyDescent="0.25">
      <c r="A22" s="30"/>
      <c r="B22" s="33"/>
      <c r="C22" s="26"/>
      <c r="D22" s="26"/>
      <c r="E22" s="26"/>
      <c r="F22" s="26"/>
      <c r="G22" s="27"/>
      <c r="H22" s="28"/>
    </row>
    <row r="23" spans="1:8" ht="15.75" customHeight="1" x14ac:dyDescent="0.25">
      <c r="A23" s="34"/>
      <c r="B23" s="33"/>
      <c r="C23" s="26"/>
      <c r="D23" s="26"/>
      <c r="E23" s="26"/>
      <c r="F23" s="26"/>
      <c r="G23" s="27"/>
      <c r="H23" s="28"/>
    </row>
    <row r="24" spans="1:8" ht="15.75" customHeight="1" x14ac:dyDescent="0.25">
      <c r="A24" s="34"/>
      <c r="B24" s="33"/>
      <c r="C24" s="26"/>
      <c r="D24" s="26"/>
      <c r="E24" s="26"/>
      <c r="F24" s="26"/>
      <c r="G24" s="27"/>
      <c r="H24" s="28"/>
    </row>
    <row r="25" spans="1:8" ht="15.75" customHeight="1" x14ac:dyDescent="0.25">
      <c r="A25" s="34"/>
      <c r="B25" s="33"/>
      <c r="C25" s="26"/>
      <c r="D25" s="26"/>
      <c r="E25" s="26"/>
      <c r="F25" s="26"/>
      <c r="G25" s="27"/>
      <c r="H25" s="28"/>
    </row>
    <row r="26" spans="1:8" ht="15.75" customHeight="1" x14ac:dyDescent="0.25">
      <c r="A26" s="34"/>
      <c r="B26" s="33"/>
      <c r="C26" s="26"/>
      <c r="D26" s="26"/>
      <c r="E26" s="26"/>
      <c r="F26" s="26"/>
      <c r="G26" s="27"/>
      <c r="H26" s="28"/>
    </row>
    <row r="27" spans="1:8" ht="15.75" customHeight="1" x14ac:dyDescent="0.25">
      <c r="A27" s="34"/>
      <c r="B27" s="33"/>
      <c r="C27" s="26"/>
      <c r="D27" s="26"/>
      <c r="E27" s="26"/>
      <c r="F27" s="26"/>
      <c r="G27" s="27"/>
      <c r="H27" s="28"/>
    </row>
    <row r="28" spans="1:8" ht="15.75" customHeight="1" x14ac:dyDescent="0.25">
      <c r="A28" s="35" t="s">
        <v>44</v>
      </c>
      <c r="B28" s="36">
        <f>SUM(B10:B27)</f>
        <v>6</v>
      </c>
      <c r="C28" s="37"/>
      <c r="D28" s="37"/>
      <c r="E28" s="38"/>
      <c r="F28" s="39" t="s">
        <v>45</v>
      </c>
      <c r="G28" s="40"/>
      <c r="H28" s="41">
        <f>SUM(H10:H27)</f>
        <v>47209680</v>
      </c>
    </row>
    <row r="29" spans="1:8" ht="15.75" customHeight="1" x14ac:dyDescent="0.25">
      <c r="A29" s="16"/>
      <c r="B29" s="16"/>
      <c r="C29" s="16"/>
      <c r="D29" s="16"/>
      <c r="E29" s="42" t="s">
        <v>46</v>
      </c>
      <c r="F29" s="39"/>
      <c r="G29" s="17"/>
      <c r="H29" s="41">
        <f>H28*B3</f>
        <v>273816144</v>
      </c>
    </row>
    <row r="30" spans="1:8" ht="15.75" customHeight="1" x14ac:dyDescent="0.25">
      <c r="A30" s="16"/>
      <c r="B30" s="16"/>
      <c r="C30" s="16"/>
      <c r="D30" s="16"/>
      <c r="E30" s="43"/>
      <c r="F30" s="43"/>
      <c r="G30" s="43"/>
      <c r="H30" s="43"/>
    </row>
    <row r="31" spans="1:8" ht="15.75" customHeight="1" x14ac:dyDescent="0.25">
      <c r="A31" s="16"/>
      <c r="B31" s="16"/>
      <c r="C31" s="16"/>
      <c r="D31" s="16"/>
      <c r="E31" s="43"/>
      <c r="F31" s="43"/>
      <c r="G31" s="43"/>
      <c r="H31" s="43"/>
    </row>
    <row r="32" spans="1:8" ht="15.75" customHeight="1" x14ac:dyDescent="0.25">
      <c r="A32" s="16"/>
      <c r="B32" s="16"/>
      <c r="C32" s="16"/>
      <c r="D32" s="16"/>
      <c r="E32" s="16"/>
      <c r="F32" s="16"/>
      <c r="G32" s="16"/>
      <c r="H32" s="16"/>
    </row>
    <row r="33" spans="1:8" ht="15.75" customHeight="1" x14ac:dyDescent="0.25">
      <c r="A33" s="138" t="s">
        <v>47</v>
      </c>
      <c r="B33" s="114"/>
      <c r="C33" s="114"/>
      <c r="D33" s="114"/>
      <c r="E33" s="114"/>
      <c r="F33" s="16"/>
      <c r="G33" s="16"/>
      <c r="H33" s="16"/>
    </row>
    <row r="34" spans="1:8" ht="35.1" customHeight="1" x14ac:dyDescent="0.25">
      <c r="A34" s="44" t="s">
        <v>48</v>
      </c>
      <c r="B34" s="45" t="s">
        <v>49</v>
      </c>
      <c r="C34" s="46" t="s">
        <v>30</v>
      </c>
      <c r="D34" s="45" t="s">
        <v>50</v>
      </c>
      <c r="E34" s="45" t="s">
        <v>51</v>
      </c>
      <c r="F34" s="16"/>
      <c r="G34" s="16"/>
      <c r="H34" s="16"/>
    </row>
    <row r="35" spans="1:8" ht="15.75" customHeight="1" x14ac:dyDescent="0.25">
      <c r="A35" s="34" t="s">
        <v>177</v>
      </c>
      <c r="B35" s="47" t="s">
        <v>52</v>
      </c>
      <c r="C35" s="47">
        <v>6</v>
      </c>
      <c r="D35" s="47">
        <v>600000</v>
      </c>
      <c r="E35" s="48">
        <f t="shared" ref="E35:E40" si="4">C35*D35</f>
        <v>3600000</v>
      </c>
      <c r="F35" s="16"/>
      <c r="G35" s="16"/>
      <c r="H35" s="16"/>
    </row>
    <row r="36" spans="1:8" ht="15.75" customHeight="1" x14ac:dyDescent="0.25">
      <c r="A36" t="s">
        <v>178</v>
      </c>
      <c r="B36" s="47" t="s">
        <v>52</v>
      </c>
      <c r="C36" s="48">
        <v>1</v>
      </c>
      <c r="D36" s="48">
        <v>150000</v>
      </c>
      <c r="E36" s="48">
        <f t="shared" si="4"/>
        <v>150000</v>
      </c>
      <c r="F36" s="16"/>
      <c r="G36" s="16"/>
      <c r="H36" s="16"/>
    </row>
    <row r="37" spans="1:8" x14ac:dyDescent="0.25">
      <c r="A37" t="s">
        <v>179</v>
      </c>
      <c r="B37" s="47" t="s">
        <v>52</v>
      </c>
      <c r="C37" s="47">
        <v>3</v>
      </c>
      <c r="D37" s="47">
        <v>200000</v>
      </c>
      <c r="E37" s="48">
        <f t="shared" si="4"/>
        <v>600000</v>
      </c>
      <c r="F37" s="16"/>
      <c r="G37" s="16"/>
      <c r="H37" s="16"/>
    </row>
    <row r="38" spans="1:8" ht="15.75" customHeight="1" x14ac:dyDescent="0.25">
      <c r="A38" s="49" t="s">
        <v>182</v>
      </c>
      <c r="B38" s="47" t="s">
        <v>52</v>
      </c>
      <c r="C38" s="47">
        <v>2</v>
      </c>
      <c r="D38" s="47">
        <v>150000</v>
      </c>
      <c r="E38" s="48">
        <f t="shared" si="4"/>
        <v>300000</v>
      </c>
      <c r="F38" s="16"/>
      <c r="G38" s="16"/>
      <c r="H38" s="16"/>
    </row>
    <row r="39" spans="1:8" ht="15.75" customHeight="1" x14ac:dyDescent="0.25">
      <c r="A39" s="95" t="s">
        <v>183</v>
      </c>
      <c r="B39" s="47" t="s">
        <v>52</v>
      </c>
      <c r="C39" s="47">
        <v>1</v>
      </c>
      <c r="D39" s="96">
        <v>1500000</v>
      </c>
      <c r="E39" s="48">
        <f t="shared" si="4"/>
        <v>1500000</v>
      </c>
      <c r="F39" s="16"/>
      <c r="G39" s="16"/>
      <c r="H39" s="16"/>
    </row>
    <row r="40" spans="1:8" ht="15.75" customHeight="1" x14ac:dyDescent="0.25">
      <c r="A40" s="49" t="s">
        <v>180</v>
      </c>
      <c r="B40" s="47" t="s">
        <v>181</v>
      </c>
      <c r="C40" s="47">
        <v>1</v>
      </c>
      <c r="D40" s="47">
        <v>100000</v>
      </c>
      <c r="E40" s="48">
        <f t="shared" si="4"/>
        <v>100000</v>
      </c>
      <c r="F40" s="16"/>
      <c r="G40" s="16"/>
      <c r="H40" s="16"/>
    </row>
    <row r="41" spans="1:8" ht="15.75" customHeight="1" x14ac:dyDescent="0.25">
      <c r="A41" s="50"/>
      <c r="B41" s="51"/>
      <c r="C41" s="51"/>
      <c r="D41" s="52" t="s">
        <v>53</v>
      </c>
      <c r="E41" s="53">
        <f>SUM(E35:E40)</f>
        <v>6250000</v>
      </c>
      <c r="F41" s="16"/>
      <c r="G41" s="16"/>
      <c r="H41" s="16"/>
    </row>
    <row r="42" spans="1:8" ht="15.75" customHeight="1" x14ac:dyDescent="0.25">
      <c r="A42" s="16"/>
      <c r="B42" s="16"/>
      <c r="C42" s="16"/>
      <c r="D42" s="16"/>
      <c r="E42" s="16"/>
      <c r="F42" s="16"/>
      <c r="G42" s="16"/>
      <c r="H42" s="16"/>
    </row>
    <row r="43" spans="1:8" ht="7.5" customHeight="1" x14ac:dyDescent="0.25">
      <c r="A43" s="16"/>
      <c r="B43" s="16"/>
      <c r="C43" s="16"/>
      <c r="D43" s="16"/>
      <c r="E43" s="16"/>
      <c r="F43" s="16"/>
      <c r="G43" s="16"/>
      <c r="H43" s="16"/>
    </row>
    <row r="44" spans="1:8" ht="15.75" customHeight="1" x14ac:dyDescent="0.25">
      <c r="C44" s="16"/>
      <c r="D44" s="16"/>
      <c r="E44" s="16"/>
      <c r="F44" s="16"/>
      <c r="G44" s="16"/>
      <c r="H44" s="16"/>
    </row>
    <row r="45" spans="1:8" ht="15.75" customHeight="1" x14ac:dyDescent="0.25">
      <c r="A45" s="54" t="s">
        <v>54</v>
      </c>
      <c r="B45" s="54" t="s">
        <v>55</v>
      </c>
      <c r="C45" s="16"/>
      <c r="D45" s="16"/>
      <c r="E45" s="16"/>
      <c r="F45" s="16"/>
      <c r="G45" s="16"/>
      <c r="H45" s="16"/>
    </row>
    <row r="46" spans="1:8" ht="15.75" customHeight="1" x14ac:dyDescent="0.25">
      <c r="A46" s="8" t="s">
        <v>184</v>
      </c>
      <c r="B46" s="97">
        <v>7630000</v>
      </c>
      <c r="C46" s="16"/>
      <c r="D46" s="16"/>
      <c r="E46" s="16"/>
      <c r="F46" s="16"/>
      <c r="G46" s="16"/>
      <c r="H46" s="16"/>
    </row>
    <row r="47" spans="1:8" ht="15.75" customHeight="1" x14ac:dyDescent="0.25">
      <c r="A47" s="8" t="s">
        <v>184</v>
      </c>
      <c r="B47" s="97">
        <v>7630000</v>
      </c>
      <c r="C47" s="16"/>
      <c r="D47" s="16"/>
      <c r="E47" s="16"/>
      <c r="F47" s="16"/>
      <c r="G47" s="16"/>
      <c r="H47" s="16"/>
    </row>
    <row r="48" spans="1:8" ht="15.75" customHeight="1" x14ac:dyDescent="0.25">
      <c r="A48" s="55" t="s">
        <v>56</v>
      </c>
      <c r="B48" s="55">
        <f>SUM(B46:B47)</f>
        <v>15260000</v>
      </c>
      <c r="C48" s="16"/>
      <c r="D48" s="16"/>
      <c r="E48" s="16"/>
      <c r="F48" s="16"/>
      <c r="G48" s="16"/>
      <c r="H48" s="16"/>
    </row>
    <row r="49" spans="1:8" ht="15.75" customHeight="1" x14ac:dyDescent="0.25">
      <c r="C49" s="16"/>
      <c r="D49" s="16"/>
      <c r="E49" s="16"/>
      <c r="F49" s="16"/>
      <c r="G49" s="16"/>
      <c r="H49" s="16"/>
    </row>
    <row r="50" spans="1:8" ht="15.75" customHeight="1" x14ac:dyDescent="0.25">
      <c r="A50" s="56" t="s">
        <v>57</v>
      </c>
      <c r="B50" s="57">
        <f>H29</f>
        <v>273816144</v>
      </c>
      <c r="C50" s="16"/>
      <c r="D50" s="16"/>
      <c r="E50" s="16"/>
      <c r="F50" s="16"/>
      <c r="G50" s="16"/>
      <c r="H50" s="16"/>
    </row>
    <row r="51" spans="1:8" ht="15.75" customHeight="1" x14ac:dyDescent="0.25">
      <c r="A51" s="56" t="s">
        <v>47</v>
      </c>
      <c r="B51" s="58">
        <f>E41</f>
        <v>6250000</v>
      </c>
      <c r="C51" s="16"/>
      <c r="D51" s="16"/>
      <c r="E51" s="16"/>
      <c r="F51" s="16"/>
      <c r="G51" s="16"/>
      <c r="H51" s="16"/>
    </row>
    <row r="52" spans="1:8" ht="15.75" customHeight="1" x14ac:dyDescent="0.25">
      <c r="A52" s="59" t="s">
        <v>58</v>
      </c>
      <c r="B52" s="59">
        <f>B48</f>
        <v>15260000</v>
      </c>
      <c r="C52" s="16"/>
      <c r="D52" s="16"/>
      <c r="E52" s="16"/>
      <c r="F52" s="16"/>
      <c r="G52" s="16"/>
      <c r="H52" s="16"/>
    </row>
    <row r="53" spans="1:8" ht="15.75" customHeight="1" x14ac:dyDescent="0.25">
      <c r="A53" s="60" t="s">
        <v>59</v>
      </c>
      <c r="B53" s="61">
        <f>(B50+B51+B52)*B4</f>
        <v>14766307.200000001</v>
      </c>
      <c r="C53" s="16"/>
      <c r="D53" s="16"/>
      <c r="E53" s="16"/>
      <c r="F53" s="16"/>
      <c r="G53" s="16"/>
      <c r="H53" s="16"/>
    </row>
    <row r="54" spans="1:8" ht="15.75" customHeight="1" x14ac:dyDescent="0.25">
      <c r="A54" s="62" t="s">
        <v>60</v>
      </c>
      <c r="B54" s="63">
        <f>(B50+B51+B52)*0.1</f>
        <v>29532614.400000002</v>
      </c>
      <c r="C54" s="16"/>
      <c r="D54" s="16"/>
      <c r="E54" s="16"/>
      <c r="F54" s="16"/>
      <c r="G54" s="16"/>
      <c r="H54" s="16"/>
    </row>
    <row r="55" spans="1:8" ht="15.75" customHeight="1" x14ac:dyDescent="0.25">
      <c r="A55" s="64" t="s">
        <v>61</v>
      </c>
      <c r="B55" s="65">
        <f>SUM(B50:B53)</f>
        <v>310092451.19999999</v>
      </c>
      <c r="C55" s="16"/>
      <c r="D55" s="16"/>
      <c r="E55" s="16"/>
      <c r="F55" s="16"/>
      <c r="G55" s="16"/>
      <c r="H55" s="16"/>
    </row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mergeCells count="3">
    <mergeCell ref="A7:H7"/>
    <mergeCell ref="A8:H8"/>
    <mergeCell ref="A33:E33"/>
  </mergeCells>
  <dataValidations count="1">
    <dataValidation type="list" allowBlank="1" showErrorMessage="1" sqref="B35:B40" xr:uid="{00000000-0002-0000-0200-000000000000}">
      <formula1>"Directo,Indirecto"</formula1>
    </dataValidation>
  </dataValidations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002"/>
  <sheetViews>
    <sheetView topLeftCell="A25" workbookViewId="0">
      <selection activeCell="C35" sqref="C35"/>
    </sheetView>
  </sheetViews>
  <sheetFormatPr baseColWidth="10" defaultColWidth="14.42578125" defaultRowHeight="15" customHeight="1" x14ac:dyDescent="0.25"/>
  <cols>
    <col min="1" max="1" width="31.7109375" customWidth="1"/>
    <col min="3" max="3" width="18.85546875" customWidth="1"/>
    <col min="4" max="5" width="10.7109375" customWidth="1"/>
    <col min="6" max="6" width="22" customWidth="1"/>
    <col min="7" max="26" width="10.7109375" customWidth="1"/>
  </cols>
  <sheetData>
    <row r="2" spans="1:8" x14ac:dyDescent="0.25">
      <c r="F2" s="66" t="s">
        <v>62</v>
      </c>
    </row>
    <row r="3" spans="1:8" x14ac:dyDescent="0.25">
      <c r="A3" s="67"/>
      <c r="B3" s="67"/>
      <c r="C3" s="67"/>
      <c r="F3" s="68" t="s">
        <v>63</v>
      </c>
      <c r="G3" s="68">
        <v>1300000</v>
      </c>
    </row>
    <row r="4" spans="1:8" x14ac:dyDescent="0.25">
      <c r="F4" s="68" t="s">
        <v>64</v>
      </c>
      <c r="G4" s="68">
        <v>162000</v>
      </c>
      <c r="H4" s="68" t="s">
        <v>65</v>
      </c>
    </row>
    <row r="5" spans="1:8" x14ac:dyDescent="0.25">
      <c r="A5" s="139" t="s">
        <v>66</v>
      </c>
      <c r="B5" s="140"/>
      <c r="C5" s="140"/>
    </row>
    <row r="6" spans="1:8" x14ac:dyDescent="0.25">
      <c r="A6" s="69" t="s">
        <v>67</v>
      </c>
      <c r="B6" s="69" t="s">
        <v>68</v>
      </c>
      <c r="C6" s="69" t="s">
        <v>69</v>
      </c>
    </row>
    <row r="7" spans="1:8" x14ac:dyDescent="0.25">
      <c r="A7" s="70" t="s">
        <v>70</v>
      </c>
      <c r="B7" s="8"/>
      <c r="C7" s="9">
        <v>180</v>
      </c>
    </row>
    <row r="8" spans="1:8" x14ac:dyDescent="0.25">
      <c r="A8" s="70" t="s">
        <v>71</v>
      </c>
      <c r="B8" s="8"/>
      <c r="C8" s="9">
        <v>2600000</v>
      </c>
    </row>
    <row r="9" spans="1:8" x14ac:dyDescent="0.25">
      <c r="A9" s="70" t="s">
        <v>64</v>
      </c>
      <c r="B9" s="71" t="s">
        <v>43</v>
      </c>
      <c r="C9" s="9">
        <v>0</v>
      </c>
    </row>
    <row r="10" spans="1:8" x14ac:dyDescent="0.25">
      <c r="A10" s="70" t="s">
        <v>72</v>
      </c>
      <c r="B10" s="8"/>
      <c r="C10" s="9">
        <f>SUM(C8:C9)</f>
        <v>2600000</v>
      </c>
    </row>
    <row r="11" spans="1:8" x14ac:dyDescent="0.25">
      <c r="A11" s="70"/>
      <c r="B11" s="8"/>
      <c r="C11" s="9"/>
    </row>
    <row r="12" spans="1:8" x14ac:dyDescent="0.25">
      <c r="A12" s="70" t="s">
        <v>73</v>
      </c>
      <c r="B12" s="72">
        <v>8.3299999999999999E-2</v>
      </c>
      <c r="C12" s="9">
        <f>C$8*B12</f>
        <v>216580</v>
      </c>
    </row>
    <row r="13" spans="1:8" x14ac:dyDescent="0.25">
      <c r="A13" s="70" t="s">
        <v>74</v>
      </c>
      <c r="B13" s="72">
        <v>8.3299999999999999E-2</v>
      </c>
      <c r="C13" s="9">
        <f>C$8*B13</f>
        <v>216580</v>
      </c>
    </row>
    <row r="14" spans="1:8" x14ac:dyDescent="0.25">
      <c r="A14" s="70" t="s">
        <v>75</v>
      </c>
      <c r="B14" s="72">
        <v>1.1999999999999999E-3</v>
      </c>
      <c r="C14" s="9">
        <f>C$8*B14</f>
        <v>3119.9999999999995</v>
      </c>
    </row>
    <row r="15" spans="1:8" x14ac:dyDescent="0.25">
      <c r="A15" s="70" t="s">
        <v>76</v>
      </c>
      <c r="B15" s="71">
        <v>4.1669999999999999E-2</v>
      </c>
      <c r="C15" s="9">
        <f>C$8*B15</f>
        <v>108342</v>
      </c>
    </row>
    <row r="16" spans="1:8" x14ac:dyDescent="0.25">
      <c r="A16" s="70"/>
      <c r="B16" s="8"/>
      <c r="C16" s="9"/>
    </row>
    <row r="17" spans="1:3" x14ac:dyDescent="0.25">
      <c r="A17" s="70" t="s">
        <v>77</v>
      </c>
      <c r="B17" s="71">
        <f>SUM(B12:B15)</f>
        <v>0.20946999999999999</v>
      </c>
      <c r="C17" s="9">
        <f>SUM(C12:C16)</f>
        <v>544622</v>
      </c>
    </row>
    <row r="18" spans="1:3" x14ac:dyDescent="0.25">
      <c r="A18" s="70"/>
      <c r="B18" s="8"/>
      <c r="C18" s="9"/>
    </row>
    <row r="19" spans="1:3" x14ac:dyDescent="0.25">
      <c r="A19" s="70" t="s">
        <v>78</v>
      </c>
      <c r="B19" s="72">
        <v>8.5000000000000006E-2</v>
      </c>
      <c r="C19" s="9">
        <f>C$8*B19</f>
        <v>221000.00000000003</v>
      </c>
    </row>
    <row r="20" spans="1:3" x14ac:dyDescent="0.25">
      <c r="A20" s="70" t="s">
        <v>79</v>
      </c>
      <c r="B20" s="72">
        <v>0.12</v>
      </c>
      <c r="C20" s="9">
        <f>C$8*B20</f>
        <v>312000</v>
      </c>
    </row>
    <row r="21" spans="1:3" ht="15.75" customHeight="1" x14ac:dyDescent="0.25">
      <c r="A21" s="70" t="s">
        <v>80</v>
      </c>
      <c r="B21" s="72">
        <v>0.09</v>
      </c>
      <c r="C21" s="9">
        <f>C$8*B21</f>
        <v>234000</v>
      </c>
    </row>
    <row r="22" spans="1:3" ht="15.75" customHeight="1" x14ac:dyDescent="0.25">
      <c r="A22" s="70" t="s">
        <v>81</v>
      </c>
      <c r="B22" s="72">
        <v>5.2199999999999998E-3</v>
      </c>
      <c r="C22" s="9">
        <f>C$8*B22</f>
        <v>13572</v>
      </c>
    </row>
    <row r="23" spans="1:3" ht="15.75" customHeight="1" x14ac:dyDescent="0.25">
      <c r="A23" s="70"/>
      <c r="B23" s="8"/>
      <c r="C23" s="8"/>
    </row>
    <row r="24" spans="1:3" ht="15.75" customHeight="1" x14ac:dyDescent="0.25">
      <c r="A24" s="70" t="s">
        <v>82</v>
      </c>
      <c r="B24" s="72">
        <f>SUM(B19:B23)</f>
        <v>0.30022000000000004</v>
      </c>
      <c r="C24" s="9">
        <f>SUM(C19:C23)</f>
        <v>780572</v>
      </c>
    </row>
    <row r="25" spans="1:3" ht="15.75" customHeight="1" x14ac:dyDescent="0.25">
      <c r="A25" s="70"/>
      <c r="B25" s="8"/>
      <c r="C25" s="8"/>
    </row>
    <row r="26" spans="1:3" ht="15.75" customHeight="1" x14ac:dyDescent="0.25">
      <c r="A26" s="70" t="s">
        <v>83</v>
      </c>
      <c r="B26" s="8"/>
      <c r="C26" s="73">
        <f>C10+C17+C24</f>
        <v>3925194</v>
      </c>
    </row>
    <row r="27" spans="1:3" ht="15.75" customHeight="1" x14ac:dyDescent="0.25">
      <c r="A27" s="70" t="s">
        <v>84</v>
      </c>
      <c r="B27" s="8"/>
      <c r="C27" s="73">
        <f>C26*12</f>
        <v>47102328</v>
      </c>
    </row>
    <row r="28" spans="1:3" ht="15.75" customHeight="1" x14ac:dyDescent="0.25">
      <c r="A28" s="70" t="s">
        <v>85</v>
      </c>
      <c r="B28" s="8"/>
      <c r="C28" s="73">
        <f>C26/C7</f>
        <v>21806.633333333335</v>
      </c>
    </row>
    <row r="29" spans="1:3" ht="15.75" customHeight="1" x14ac:dyDescent="0.25">
      <c r="A29" s="67"/>
      <c r="B29" s="67"/>
      <c r="C29" s="67"/>
    </row>
    <row r="30" spans="1:3" ht="15.75" customHeight="1" x14ac:dyDescent="0.25">
      <c r="A30" s="67"/>
      <c r="B30" s="67"/>
      <c r="C30" s="67"/>
    </row>
    <row r="31" spans="1:3" ht="15.75" customHeight="1" x14ac:dyDescent="0.25">
      <c r="A31" s="74"/>
      <c r="B31" s="75"/>
      <c r="C31" s="67"/>
    </row>
    <row r="32" spans="1:3" ht="15.75" customHeight="1" x14ac:dyDescent="0.25">
      <c r="A32" s="74"/>
      <c r="B32" s="75"/>
      <c r="C32" s="67"/>
    </row>
    <row r="33" spans="1:3" ht="15.75" customHeight="1" x14ac:dyDescent="0.25">
      <c r="A33" s="76" t="s">
        <v>86</v>
      </c>
      <c r="B33" s="9">
        <v>124</v>
      </c>
      <c r="C33" s="67"/>
    </row>
    <row r="34" spans="1:3" ht="15.75" customHeight="1" x14ac:dyDescent="0.25">
      <c r="A34" s="76" t="s">
        <v>87</v>
      </c>
      <c r="B34" s="9">
        <v>40</v>
      </c>
      <c r="C34" s="67"/>
    </row>
    <row r="35" spans="1:3" ht="15.75" customHeight="1" x14ac:dyDescent="0.25">
      <c r="A35" s="77" t="s">
        <v>88</v>
      </c>
      <c r="B35" s="78">
        <f>Presupuesto!H28</f>
        <v>47209680</v>
      </c>
    </row>
    <row r="36" spans="1:3" ht="15.75" customHeight="1" x14ac:dyDescent="0.25">
      <c r="A36" s="77" t="s">
        <v>89</v>
      </c>
      <c r="B36" s="78">
        <f>B35/B34</f>
        <v>1180242</v>
      </c>
    </row>
    <row r="37" spans="1:3" ht="15.75" customHeight="1" x14ac:dyDescent="0.25">
      <c r="A37" s="77" t="s">
        <v>90</v>
      </c>
      <c r="B37" s="78">
        <f>B33*B36</f>
        <v>146350008</v>
      </c>
    </row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">
    <mergeCell ref="A5:C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Estimar por puntos de historia</vt:lpstr>
      <vt:lpstr>Estimar CostosxHora</vt:lpstr>
      <vt:lpstr>Presupuesto</vt:lpstr>
      <vt:lpstr>costo por recurso o punto de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JOSE GIOVANNY NASPUCIL TORRES</cp:lastModifiedBy>
  <dcterms:created xsi:type="dcterms:W3CDTF">2008-07-30T16:49:19Z</dcterms:created>
  <dcterms:modified xsi:type="dcterms:W3CDTF">2026-05-21T18:27:42Z</dcterms:modified>
</cp:coreProperties>
</file>