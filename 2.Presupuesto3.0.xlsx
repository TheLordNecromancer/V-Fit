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57314\Downloads\"/>
    </mc:Choice>
  </mc:AlternateContent>
  <xr:revisionPtr revIDLastSave="0" documentId="8_{04C206E6-B7C7-4400-9334-144C57F2B9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timar CostosxHora" sheetId="1" r:id="rId1"/>
    <sheet name="Hoja2" sheetId="6" state="hidden" r:id="rId2"/>
    <sheet name="Presupuesto" sheetId="3" state="hidden" r:id="rId3"/>
    <sheet name="costo por recurso o punto de H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7" i="1"/>
  <c r="F26" i="1"/>
  <c r="F25" i="1"/>
  <c r="F24" i="1"/>
  <c r="F23" i="1"/>
  <c r="G23" i="1" s="1"/>
  <c r="F22" i="1"/>
  <c r="F21" i="1"/>
  <c r="F20" i="1"/>
  <c r="F19" i="1"/>
  <c r="F18" i="1"/>
  <c r="F17" i="1"/>
  <c r="F16" i="1"/>
  <c r="F15" i="1"/>
  <c r="G15" i="1" s="1"/>
  <c r="G29" i="1" s="1"/>
  <c r="M54" i="1" l="1"/>
  <c r="L54" i="1"/>
  <c r="M53" i="1"/>
  <c r="L53" i="1"/>
  <c r="M52" i="1"/>
  <c r="L52" i="1"/>
  <c r="M51" i="1"/>
  <c r="L51" i="1"/>
  <c r="M50" i="1"/>
  <c r="L50" i="1"/>
  <c r="M49" i="1"/>
  <c r="L49" i="1"/>
  <c r="L48" i="1"/>
  <c r="M48" i="1"/>
  <c r="L38" i="1"/>
  <c r="N50" i="1" l="1"/>
  <c r="P50" i="1" s="1"/>
  <c r="R50" i="1" s="1"/>
  <c r="N54" i="1"/>
  <c r="P54" i="1" s="1"/>
  <c r="R54" i="1" s="1"/>
  <c r="N49" i="1"/>
  <c r="P49" i="1" s="1"/>
  <c r="R49" i="1" s="1"/>
  <c r="N51" i="1"/>
  <c r="P51" i="1" s="1"/>
  <c r="R51" i="1" s="1"/>
  <c r="N53" i="1"/>
  <c r="P53" i="1" s="1"/>
  <c r="R53" i="1" s="1"/>
  <c r="N52" i="1"/>
  <c r="P52" i="1" s="1"/>
  <c r="R52" i="1" s="1"/>
  <c r="N48" i="1"/>
  <c r="P48" i="1" s="1"/>
  <c r="R48" i="1" s="1"/>
  <c r="E16" i="3"/>
  <c r="F16" i="3" s="1"/>
  <c r="G16" i="3" s="1"/>
  <c r="S49" i="1" l="1"/>
  <c r="H16" i="3"/>
  <c r="B24" i="4"/>
  <c r="C22" i="4"/>
  <c r="C21" i="4"/>
  <c r="C20" i="4"/>
  <c r="C19" i="4"/>
  <c r="B17" i="4"/>
  <c r="C15" i="4"/>
  <c r="C14" i="4"/>
  <c r="C13" i="4"/>
  <c r="C12" i="4"/>
  <c r="C10" i="4"/>
  <c r="B48" i="3"/>
  <c r="B52" i="3" s="1"/>
  <c r="E40" i="3"/>
  <c r="E39" i="3"/>
  <c r="E38" i="3"/>
  <c r="E37" i="3"/>
  <c r="E36" i="3"/>
  <c r="E35" i="3"/>
  <c r="B28" i="3"/>
  <c r="E15" i="3"/>
  <c r="F15" i="3" s="1"/>
  <c r="H15" i="3" s="1"/>
  <c r="E14" i="3"/>
  <c r="F14" i="3" s="1"/>
  <c r="E13" i="3"/>
  <c r="F13" i="3" s="1"/>
  <c r="E12" i="3"/>
  <c r="F12" i="3" s="1"/>
  <c r="H12" i="3" s="1"/>
  <c r="E11" i="3"/>
  <c r="F11" i="3" s="1"/>
  <c r="E10" i="3"/>
  <c r="F10" i="3" s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N38" i="1" s="1"/>
  <c r="P38" i="1" s="1"/>
  <c r="R38" i="1" s="1"/>
  <c r="M37" i="1"/>
  <c r="L37" i="1"/>
  <c r="M36" i="1"/>
  <c r="L36" i="1"/>
  <c r="M35" i="1"/>
  <c r="L35" i="1"/>
  <c r="C17" i="4" l="1"/>
  <c r="C24" i="4"/>
  <c r="N35" i="1"/>
  <c r="C26" i="4"/>
  <c r="N40" i="1"/>
  <c r="N42" i="1"/>
  <c r="P42" i="1" s="1"/>
  <c r="R42" i="1" s="1"/>
  <c r="E41" i="3"/>
  <c r="B51" i="3" s="1"/>
  <c r="N43" i="1"/>
  <c r="P43" i="1" s="1"/>
  <c r="R43" i="1" s="1"/>
  <c r="N45" i="1"/>
  <c r="P45" i="1" s="1"/>
  <c r="R45" i="1" s="1"/>
  <c r="N37" i="1"/>
  <c r="P37" i="1" s="1"/>
  <c r="R37" i="1" s="1"/>
  <c r="N46" i="1"/>
  <c r="P46" i="1" s="1"/>
  <c r="R46" i="1" s="1"/>
  <c r="N41" i="1"/>
  <c r="P41" i="1" s="1"/>
  <c r="R41" i="1" s="1"/>
  <c r="N47" i="1"/>
  <c r="P47" i="1" s="1"/>
  <c r="R47" i="1" s="1"/>
  <c r="P35" i="1"/>
  <c r="R35" i="1" s="1"/>
  <c r="N36" i="1"/>
  <c r="P36" i="1" s="1"/>
  <c r="R36" i="1" s="1"/>
  <c r="N39" i="1"/>
  <c r="P39" i="1" s="1"/>
  <c r="R39" i="1" s="1"/>
  <c r="N44" i="1"/>
  <c r="P44" i="1" s="1"/>
  <c r="R44" i="1" s="1"/>
  <c r="C28" i="4"/>
  <c r="C27" i="4"/>
  <c r="H11" i="3"/>
  <c r="G11" i="3"/>
  <c r="H14" i="3"/>
  <c r="G14" i="3"/>
  <c r="H10" i="3"/>
  <c r="G10" i="3"/>
  <c r="H13" i="3"/>
  <c r="G13" i="3"/>
  <c r="G12" i="3"/>
  <c r="G15" i="3"/>
  <c r="S41" i="1" l="1"/>
  <c r="P40" i="1"/>
  <c r="R40" i="1" s="1"/>
  <c r="S35" i="1" s="1"/>
  <c r="H28" i="3"/>
  <c r="S55" i="1" l="1"/>
  <c r="B35" i="4"/>
  <c r="H29" i="3"/>
  <c r="B50" i="3" s="1"/>
  <c r="B36" i="4" l="1"/>
  <c r="B37" i="4" s="1"/>
  <c r="B54" i="3"/>
  <c r="B53" i="3"/>
  <c r="B5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tc={F7FC7476-AC2F-430C-ACE6-9FD4D203202F}</author>
  </authors>
  <commentList>
    <comment ref="C5" authorId="0" shapeId="0" xr:uid="{F7FC7476-AC2F-430C-ACE6-9FD4D203202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Developers Junior 
1 Scrum Master 
2 Product Owners  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tc={A5BC1472-B09C-486C-B68F-8BD9FE668BA8}</author>
  </authors>
  <commentList>
    <comment ref="B5" authorId="0" shapeId="0" xr:uid="{A5BC1472-B09C-486C-B68F-8BD9FE668BA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Developers Junior 
1 Scrum Master 
2 Product Owners  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6" authorId="0" shapeId="0" xr:uid="{00000000-0006-0000-0200-000001000000}">
      <text>
        <r>
          <rPr>
            <sz val="11"/>
            <color rgb="FF000000"/>
            <rFont val="Calibri"/>
            <family val="2"/>
          </rPr>
          <t>Cubrir horas extra de desarrollo en caso de bloqueos por no tener dominio total sobre las tecnologías de superposición 3D (Debilidad 1), o ante fallos críticos que superen el límite de 5 horas diarias de trabajo (Debilidad 2).</t>
        </r>
      </text>
    </comment>
    <comment ref="B50" authorId="0" shapeId="0" xr:uid="{00000000-0006-0000-0200-000002000000}">
      <text>
        <r>
          <rPr>
            <sz val="11"/>
            <color rgb="FF000000"/>
            <rFont val="Calibri"/>
            <family val="2"/>
          </rPr>
          <t xml:space="preserve">Se puede usar el valor obtenido de los paquetes de trabajo o módulos, en vez de la tabla de la nómina cuando se ha calculado el costo de la hora por recurso
</t>
        </r>
        <r>
          <rPr>
            <sz val="11"/>
            <color rgb="FF000000"/>
            <rFont val="Calibri"/>
            <family val="2"/>
          </rPr>
          <t>======</t>
        </r>
      </text>
    </comment>
    <comment ref="A53" authorId="0" shapeId="0" xr:uid="{00000000-0006-0000-0200-000003000000}">
      <text>
        <r>
          <rPr>
            <sz val="11"/>
            <color rgb="FF000000"/>
            <rFont val="Calibri"/>
            <family val="2"/>
          </rPr>
          <t xml:space="preserve">Puede estar entre el 5 y 10 % del costo total del proyecto.
</t>
        </r>
        <r>
          <rPr>
            <sz val="11"/>
            <color rgb="FF000000"/>
            <rFont val="Calibri"/>
            <family val="2"/>
          </rPr>
          <t xml:space="preserve">Para lo que se llama imprevistos, riesgos no conocidos.
</t>
        </r>
        <r>
          <rPr>
            <sz val="11"/>
            <color rgb="FF000000"/>
            <rFont val="Calibri"/>
            <family val="2"/>
          </rPr>
          <t xml:space="preserve">Por ejemplo:
</t>
        </r>
        <r>
          <rPr>
            <sz val="11"/>
            <color rgb="FF000000"/>
            <rFont val="Calibri"/>
            <family val="2"/>
          </rPr>
          <t xml:space="preserve">10% del valor del proyecto para enfrentar posibles problemas técnicos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======</t>
        </r>
      </text>
    </comment>
  </commentList>
</comments>
</file>

<file path=xl/sharedStrings.xml><?xml version="1.0" encoding="utf-8"?>
<sst xmlns="http://schemas.openxmlformats.org/spreadsheetml/2006/main" count="249" uniqueCount="165">
  <si>
    <t xml:space="preserve">PLANTILLA DE AYUDA PARA COSTOS  </t>
  </si>
  <si>
    <t>PLANTILLA COSTOS</t>
  </si>
  <si>
    <t>Módulo / Épica</t>
  </si>
  <si>
    <t xml:space="preserve">Id. Act </t>
  </si>
  <si>
    <t>Actividad /Tarea</t>
  </si>
  <si>
    <t>Tipo de recurso (Personal, Materiales, Equipo)</t>
  </si>
  <si>
    <t xml:space="preserve">Recursos </t>
  </si>
  <si>
    <t>Disponibilidad  de Cada Recurso ( Capacidad Maxima por día) (%,horas)</t>
  </si>
  <si>
    <t>p</t>
  </si>
  <si>
    <t>m</t>
  </si>
  <si>
    <t>o</t>
  </si>
  <si>
    <t>Desviación (p-0)/6</t>
  </si>
  <si>
    <t>Duración de  actividad(esfuerzo en horas)</t>
  </si>
  <si>
    <t>Capacidad Máxima (% Horas¨dia)</t>
  </si>
  <si>
    <t>Disponibilidad Recurso Horas al dia</t>
  </si>
  <si>
    <t>Costo recurso por hora</t>
  </si>
  <si>
    <t>Costo por actividad</t>
  </si>
  <si>
    <t>costo por W.P</t>
  </si>
  <si>
    <t>PLANTILLA DE AYUDA PARA ESTIMACIÓN</t>
  </si>
  <si>
    <t>HU</t>
  </si>
  <si>
    <t>Punto de historia</t>
  </si>
  <si>
    <t>Costo punto de historia</t>
  </si>
  <si>
    <t>costo por Módulo/Épica</t>
  </si>
  <si>
    <t>INDEMNIZACIONES</t>
  </si>
  <si>
    <t>DURACIÓN DEL PROYECTO MESES</t>
  </si>
  <si>
    <t>RESERVA GERENCIAL</t>
  </si>
  <si>
    <t>HORAS A TRABAJAR POR MES</t>
  </si>
  <si>
    <t>Alternativa Esquema Actual</t>
  </si>
  <si>
    <t>NOMINA</t>
  </si>
  <si>
    <t>CARGO</t>
  </si>
  <si>
    <t>CANTIDAD</t>
  </si>
  <si>
    <t>SALARIO</t>
  </si>
  <si>
    <t>INCENTIVOS</t>
  </si>
  <si>
    <t>PRESTACIONES</t>
  </si>
  <si>
    <t>COSTO + INDEM</t>
  </si>
  <si>
    <t>COSTO HORA</t>
  </si>
  <si>
    <t>COSTO MENSUAL</t>
  </si>
  <si>
    <t>Desarrollador junior</t>
  </si>
  <si>
    <t>Arquitecto</t>
  </si>
  <si>
    <t>Gerente de proyectos</t>
  </si>
  <si>
    <t>DevOps</t>
  </si>
  <si>
    <t>UX Designer</t>
  </si>
  <si>
    <t>QA</t>
  </si>
  <si>
    <t xml:space="preserve"> </t>
  </si>
  <si>
    <t>Cantidad de personal</t>
  </si>
  <si>
    <t>ESTIMADO MENSUAL</t>
  </si>
  <si>
    <t xml:space="preserve"> TOTAL ESTIMADO PROYECTO</t>
  </si>
  <si>
    <t>OTROS COSTOS</t>
  </si>
  <si>
    <t>ITEM</t>
  </si>
  <si>
    <t>TIPO(Directo/Indirecto)</t>
  </si>
  <si>
    <t>COSTO  UNITARIO</t>
  </si>
  <si>
    <t>COSTO TOTAL</t>
  </si>
  <si>
    <t>Directo</t>
  </si>
  <si>
    <t xml:space="preserve">TOTAL OTROS COSTOS </t>
  </si>
  <si>
    <t>TIPO DE RESERVA CONTINGENCIA</t>
  </si>
  <si>
    <t>VALOR</t>
  </si>
  <si>
    <t>TOTAL DE LA RESERVA  CONTINGENCIA</t>
  </si>
  <si>
    <t>ESTIMADO RECURSO HUMANO</t>
  </si>
  <si>
    <t xml:space="preserve">COSTO DE LA RESERVA DE CONTINGENCIA </t>
  </si>
  <si>
    <t xml:space="preserve">COSTO DE RESERVA GERENCIAL (       5   %) </t>
  </si>
  <si>
    <t>UTILIDAD (%10)</t>
  </si>
  <si>
    <t xml:space="preserve">COSTO DEL PRESUPUESTO DEL PROYECTO </t>
  </si>
  <si>
    <t>Datos a tener en cuenta</t>
  </si>
  <si>
    <t>Salario mínimo 2024</t>
  </si>
  <si>
    <t>Subsidio de transporte</t>
  </si>
  <si>
    <t>Hasta dos salarios mínimos</t>
  </si>
  <si>
    <t>Inversión mensual por trabajador</t>
  </si>
  <si>
    <t>Concepto</t>
  </si>
  <si>
    <t>%</t>
  </si>
  <si>
    <t>Monto</t>
  </si>
  <si>
    <t>Horas trabajadas mensuales</t>
  </si>
  <si>
    <t>Salario base</t>
  </si>
  <si>
    <t>Salario Mensual</t>
  </si>
  <si>
    <t>Prima Legal</t>
  </si>
  <si>
    <t>Cesantias</t>
  </si>
  <si>
    <t>Intereses a las cesantias</t>
  </si>
  <si>
    <t>Vacaciones</t>
  </si>
  <si>
    <t>Total prestaciones</t>
  </si>
  <si>
    <t>Aportes a salud</t>
  </si>
  <si>
    <t>Aportes a pensión</t>
  </si>
  <si>
    <t>Parafiscales</t>
  </si>
  <si>
    <t>ARL Riesgo Administrativo</t>
  </si>
  <si>
    <t>Total Aportes</t>
  </si>
  <si>
    <t>Total Mensual</t>
  </si>
  <si>
    <t>Total Anual</t>
  </si>
  <si>
    <t>Total Hora</t>
  </si>
  <si>
    <t>Total puntos de historia proyecto</t>
  </si>
  <si>
    <t>Puntos de historia por mes</t>
  </si>
  <si>
    <t>Costo del equipo por mes</t>
  </si>
  <si>
    <t>Valor del punto de historia por mes</t>
  </si>
  <si>
    <t>Valor del esfuerzo</t>
  </si>
  <si>
    <t>Product Owner</t>
  </si>
  <si>
    <t>Personal</t>
  </si>
  <si>
    <t>Esfuerzo (pert) horas</t>
  </si>
  <si>
    <t>HU-01</t>
  </si>
  <si>
    <t>Aceptación de términos de privacidad de datos biométricos.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</si>
  <si>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</si>
  <si>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</si>
  <si>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</si>
  <si>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</si>
  <si>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</si>
  <si>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</si>
  <si>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</si>
  <si>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</si>
  <si>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</si>
  <si>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</si>
  <si>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</si>
  <si>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</si>
  <si>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Ingeniería de Requisitos</t>
  </si>
  <si>
    <t>REQ-01</t>
  </si>
  <si>
    <t>REQ-02</t>
  </si>
  <si>
    <t>REQ-03</t>
  </si>
  <si>
    <t>REQ-04</t>
  </si>
  <si>
    <t>REQ-05</t>
  </si>
  <si>
    <t>REQ-06</t>
  </si>
  <si>
    <t>Realizar entrevistas a administradores de tiendas para identificar problemas de devoluciones.</t>
  </si>
  <si>
    <t>Distribuir y analizar cuestionarios del grupo focal de compradores frecuentes.</t>
  </si>
  <si>
    <t>Estructurar el contexto del proyecto (Negocio, Uso, Desarrollo, TI).</t>
  </si>
  <si>
    <t>Ejecutar pruebas de escritorio para comprobar omisiones en las historias.</t>
  </si>
  <si>
    <t>Redactar, analizar y especificar las Historias de Usuario.</t>
  </si>
  <si>
    <t>Facilitar reuniones de recorridos  técnicos con el Dev Team.</t>
  </si>
  <si>
    <t>Samuel Gómez (PO)</t>
  </si>
  <si>
    <t>Nicolás Villegas (PO)</t>
  </si>
  <si>
    <t>Samuel G. y Nicolás V. (POs)</t>
  </si>
  <si>
    <t>Sebastián Rodríguez (SM)</t>
  </si>
  <si>
    <t>Épica 1</t>
  </si>
  <si>
    <t>HU-02</t>
  </si>
  <si>
    <t xml:space="preserve">Botón para abrir interfaz "Probar en 3D" en el e-commerce. </t>
  </si>
  <si>
    <t>Uso de la cámara web para capturar fotos de frente y perfil.</t>
  </si>
  <si>
    <t>Tutorial visual para posicionamiento correcto de cámara</t>
  </si>
  <si>
    <t>Ingreso manual de medidas antropométricas por formulario.</t>
  </si>
  <si>
    <t>Alerta de mala calidad de luz/ángulo en la fotografía.</t>
  </si>
  <si>
    <t>Creación de cuenta rápida para no repetir toma de fotos.</t>
  </si>
  <si>
    <t>José Naspucil(Devs)</t>
  </si>
  <si>
    <t>Samuel Ocampo(Devs)</t>
  </si>
  <si>
    <t>Diego Izquierdo(Devs)</t>
  </si>
  <si>
    <t>Épica 2</t>
  </si>
  <si>
    <t>Observar el avatar 3D vistiendo la prenda seleccionada.</t>
  </si>
  <si>
    <t xml:space="preserve"> Rotación 360 grados del avatar con el mouse o dedo.</t>
  </si>
  <si>
    <t>Alternar dinámicamente entre tallas disponibles (S, M, L)</t>
  </si>
  <si>
    <t>Sugerencia automática de talla ideal basada en medidas.</t>
  </si>
  <si>
    <t>Botón para cerrar plugin y añadir producto al carrito principal.</t>
  </si>
  <si>
    <t>Opción de eliminar avatar y datos biométricos del sistema</t>
  </si>
  <si>
    <t xml:space="preserve">  </t>
  </si>
  <si>
    <t>1. Captura 3D</t>
  </si>
  <si>
    <t>2. Experiencia</t>
  </si>
  <si>
    <t>Aceptación de términos de privacidad biométricos.</t>
  </si>
  <si>
    <t>Alquiler Computadores Portátiles.</t>
  </si>
  <si>
    <t>Hosting y dominio web</t>
  </si>
  <si>
    <t>Licencias para herramientas de desarrollo y APIs</t>
  </si>
  <si>
    <t>Kit papelería para ceremonias Scrum (Post-its, marcadores)</t>
  </si>
  <si>
    <t>Indirecto</t>
  </si>
  <si>
    <t>Auxilio de transporte para visitas a tiendas B2B</t>
  </si>
  <si>
    <t>Servidor en la nube (AWS) para renderizado 3D y BD (6 meses)</t>
  </si>
  <si>
    <t xml:space="preserve">Aumento en el valor de servicio </t>
  </si>
  <si>
    <t>Valor</t>
  </si>
  <si>
    <t>Resumen Ejecutivo</t>
  </si>
  <si>
    <t>Duración del proyecto</t>
  </si>
  <si>
    <t>Horas mensuales</t>
  </si>
  <si>
    <t>Equipo</t>
  </si>
  <si>
    <t>Metodología</t>
  </si>
  <si>
    <t>Presupuesto total</t>
  </si>
  <si>
    <t>5.8 meses</t>
  </si>
  <si>
    <t>160 h</t>
  </si>
  <si>
    <t>Scrum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</si>
</sst>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 &quot;$&quot;\ * #,##0_ ;_ &quot;$&quot;\ * \-#,##0_ ;_ &quot;$&quot;\ * &quot;-&quot;??_ ;_ @_ "/>
    <numFmt numFmtId="165" formatCode="_ * #,##0_ ;_ * \-#,##0_ ;_ * &quot;-&quot;??_ ;_ @_ "/>
    <numFmt numFmtId="166" formatCode="_ * #,##0.0_ ;_ * \-#,##0.0_ ;_ * &quot;-&quot;??_ ;_ @_ "/>
    <numFmt numFmtId="167" formatCode="0.000%"/>
  </numFmts>
  <fonts count="3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9"/>
      <color rgb="FFFFFFFF"/>
      <name val="Calibri"/>
      <family val="2"/>
    </font>
    <font>
      <b/>
      <sz val="6"/>
      <color rgb="FF000000"/>
      <name val="Calibri"/>
      <family val="2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rgb="FFD6E3BC"/>
        <bgColor rgb="FFD6E3BC"/>
      </patternFill>
    </fill>
    <fill>
      <patternFill patternType="solid">
        <fgColor rgb="FF31859B"/>
        <bgColor rgb="FF31859B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000080"/>
        <bgColor rgb="FF000080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5A6BD"/>
        <bgColor rgb="FFD5A6BD"/>
      </patternFill>
    </fill>
    <fill>
      <patternFill patternType="solid">
        <fgColor rgb="FFC6D9F0"/>
        <bgColor rgb="FFC6D9F0"/>
      </patternFill>
    </fill>
    <fill>
      <patternFill patternType="solid">
        <fgColor rgb="FF548DD4"/>
        <bgColor rgb="FF548DD4"/>
      </patternFill>
    </fill>
    <fill>
      <patternFill patternType="solid">
        <fgColor rgb="FFC2D69B"/>
        <bgColor rgb="FFC2D69B"/>
      </patternFill>
    </fill>
    <fill>
      <patternFill patternType="solid">
        <fgColor rgb="FFCFE2F3"/>
        <bgColor rgb="FFCFE2F3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</borders>
  <cellStyleXfs count="4">
    <xf numFmtId="0" fontId="0" fillId="0" borderId="0"/>
    <xf numFmtId="44" fontId="25" fillId="0" borderId="0" applyFont="0" applyFill="0" applyBorder="0" applyAlignment="0" applyProtection="0"/>
    <xf numFmtId="0" fontId="26" fillId="0" borderId="38" applyNumberFormat="0" applyFill="0" applyAlignment="0" applyProtection="0"/>
    <xf numFmtId="0" fontId="27" fillId="0" borderId="0" applyNumberFormat="0" applyFill="0" applyBorder="0" applyAlignment="0" applyProtection="0"/>
  </cellStyleXfs>
  <cellXfs count="149">
    <xf numFmtId="0" fontId="0" fillId="0" borderId="0" xfId="0"/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5" fillId="5" borderId="6" xfId="0" applyNumberFormat="1" applyFont="1" applyFill="1" applyBorder="1" applyAlignment="1">
      <alignment horizontal="center" vertical="center" wrapText="1"/>
    </xf>
    <xf numFmtId="49" fontId="5" fillId="6" borderId="6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wrapText="1"/>
    </xf>
    <xf numFmtId="0" fontId="8" fillId="0" borderId="4" xfId="0" applyFont="1" applyBorder="1"/>
    <xf numFmtId="0" fontId="9" fillId="0" borderId="4" xfId="0" applyFont="1" applyBorder="1"/>
    <xf numFmtId="4" fontId="9" fillId="0" borderId="4" xfId="0" applyNumberFormat="1" applyFont="1" applyBorder="1"/>
    <xf numFmtId="2" fontId="9" fillId="0" borderId="4" xfId="0" applyNumberFormat="1" applyFont="1" applyBorder="1"/>
    <xf numFmtId="0" fontId="11" fillId="0" borderId="4" xfId="0" applyFont="1" applyBorder="1" applyAlignment="1">
      <alignment wrapText="1"/>
    </xf>
    <xf numFmtId="0" fontId="7" fillId="0" borderId="4" xfId="0" applyFont="1" applyBorder="1"/>
    <xf numFmtId="0" fontId="12" fillId="7" borderId="4" xfId="0" applyFont="1" applyFill="1" applyBorder="1"/>
    <xf numFmtId="9" fontId="13" fillId="8" borderId="4" xfId="0" applyNumberFormat="1" applyFont="1" applyFill="1" applyBorder="1"/>
    <xf numFmtId="164" fontId="13" fillId="8" borderId="10" xfId="0" applyNumberFormat="1" applyFont="1" applyFill="1" applyBorder="1"/>
    <xf numFmtId="0" fontId="9" fillId="8" borderId="10" xfId="0" applyFont="1" applyFill="1" applyBorder="1"/>
    <xf numFmtId="0" fontId="9" fillId="8" borderId="4" xfId="0" applyFont="1" applyFill="1" applyBorder="1"/>
    <xf numFmtId="0" fontId="14" fillId="10" borderId="17" xfId="0" applyFont="1" applyFill="1" applyBorder="1" applyAlignment="1">
      <alignment horizontal="center" vertical="center" wrapText="1"/>
    </xf>
    <xf numFmtId="0" fontId="14" fillId="10" borderId="18" xfId="0" applyFont="1" applyFill="1" applyBorder="1" applyAlignment="1">
      <alignment horizontal="center" vertical="center" wrapText="1"/>
    </xf>
    <xf numFmtId="0" fontId="14" fillId="10" borderId="19" xfId="0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0" fontId="13" fillId="8" borderId="21" xfId="0" applyFont="1" applyFill="1" applyBorder="1"/>
    <xf numFmtId="165" fontId="13" fillId="8" borderId="4" xfId="0" applyNumberFormat="1" applyFont="1" applyFill="1" applyBorder="1" applyAlignment="1">
      <alignment horizontal="center"/>
    </xf>
    <xf numFmtId="164" fontId="9" fillId="8" borderId="4" xfId="0" applyNumberFormat="1" applyFont="1" applyFill="1" applyBorder="1"/>
    <xf numFmtId="164" fontId="13" fillId="8" borderId="4" xfId="0" applyNumberFormat="1" applyFont="1" applyFill="1" applyBorder="1"/>
    <xf numFmtId="165" fontId="13" fillId="0" borderId="4" xfId="0" applyNumberFormat="1" applyFont="1" applyBorder="1"/>
    <xf numFmtId="165" fontId="13" fillId="0" borderId="1" xfId="0" applyNumberFormat="1" applyFont="1" applyBorder="1"/>
    <xf numFmtId="165" fontId="13" fillId="0" borderId="22" xfId="0" applyNumberFormat="1" applyFont="1" applyBorder="1"/>
    <xf numFmtId="165" fontId="13" fillId="8" borderId="4" xfId="0" applyNumberFormat="1" applyFont="1" applyFill="1" applyBorder="1" applyAlignment="1">
      <alignment horizontal="left"/>
    </xf>
    <xf numFmtId="0" fontId="15" fillId="0" borderId="21" xfId="0" applyFont="1" applyBorder="1" applyAlignment="1">
      <alignment wrapText="1"/>
    </xf>
    <xf numFmtId="165" fontId="13" fillId="11" borderId="4" xfId="0" applyNumberFormat="1" applyFont="1" applyFill="1" applyBorder="1" applyAlignment="1">
      <alignment horizontal="center"/>
    </xf>
    <xf numFmtId="165" fontId="13" fillId="8" borderId="4" xfId="0" applyNumberFormat="1" applyFont="1" applyFill="1" applyBorder="1"/>
    <xf numFmtId="165" fontId="13" fillId="0" borderId="4" xfId="0" applyNumberFormat="1" applyFont="1" applyBorder="1" applyAlignment="1">
      <alignment horizontal="center"/>
    </xf>
    <xf numFmtId="0" fontId="13" fillId="0" borderId="21" xfId="0" applyFont="1" applyBorder="1" applyAlignment="1">
      <alignment wrapText="1"/>
    </xf>
    <xf numFmtId="0" fontId="13" fillId="0" borderId="4" xfId="0" applyFont="1" applyBorder="1" applyAlignment="1">
      <alignment wrapText="1"/>
    </xf>
    <xf numFmtId="166" fontId="13" fillId="0" borderId="4" xfId="0" applyNumberFormat="1" applyFont="1" applyBorder="1" applyAlignment="1">
      <alignment horizontal="center"/>
    </xf>
    <xf numFmtId="0" fontId="13" fillId="0" borderId="4" xfId="0" applyFont="1" applyBorder="1"/>
    <xf numFmtId="0" fontId="13" fillId="0" borderId="4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16" fillId="0" borderId="4" xfId="0" applyFont="1" applyBorder="1" applyAlignment="1">
      <alignment horizontal="right"/>
    </xf>
    <xf numFmtId="165" fontId="16" fillId="0" borderId="4" xfId="0" applyNumberFormat="1" applyFont="1" applyBorder="1"/>
    <xf numFmtId="0" fontId="17" fillId="8" borderId="4" xfId="0" applyFont="1" applyFill="1" applyBorder="1"/>
    <xf numFmtId="0" fontId="9" fillId="8" borderId="0" xfId="0" applyFont="1" applyFill="1"/>
    <xf numFmtId="0" fontId="14" fillId="10" borderId="21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/>
    </xf>
    <xf numFmtId="3" fontId="13" fillId="0" borderId="4" xfId="0" applyNumberFormat="1" applyFont="1" applyBorder="1"/>
    <xf numFmtId="3" fontId="13" fillId="0" borderId="4" xfId="0" applyNumberFormat="1" applyFont="1" applyBorder="1" applyAlignment="1">
      <alignment vertical="center"/>
    </xf>
    <xf numFmtId="0" fontId="13" fillId="0" borderId="21" xfId="0" applyFont="1" applyBorder="1" applyAlignment="1">
      <alignment horizontal="left" wrapText="1"/>
    </xf>
    <xf numFmtId="0" fontId="13" fillId="12" borderId="21" xfId="0" applyFont="1" applyFill="1" applyBorder="1" applyAlignment="1">
      <alignment horizontal="left" wrapText="1"/>
    </xf>
    <xf numFmtId="3" fontId="13" fillId="12" borderId="4" xfId="0" applyNumberFormat="1" applyFont="1" applyFill="1" applyBorder="1"/>
    <xf numFmtId="3" fontId="16" fillId="12" borderId="4" xfId="0" applyNumberFormat="1" applyFont="1" applyFill="1" applyBorder="1" applyAlignment="1">
      <alignment horizontal="right"/>
    </xf>
    <xf numFmtId="3" fontId="9" fillId="12" borderId="4" xfId="0" applyNumberFormat="1" applyFont="1" applyFill="1" applyBorder="1"/>
    <xf numFmtId="0" fontId="18" fillId="13" borderId="4" xfId="0" applyFont="1" applyFill="1" applyBorder="1" applyAlignment="1">
      <alignment horizontal="center"/>
    </xf>
    <xf numFmtId="0" fontId="18" fillId="13" borderId="4" xfId="0" applyFont="1" applyFill="1" applyBorder="1"/>
    <xf numFmtId="0" fontId="19" fillId="14" borderId="4" xfId="0" applyFont="1" applyFill="1" applyBorder="1"/>
    <xf numFmtId="165" fontId="19" fillId="14" borderId="4" xfId="0" applyNumberFormat="1" applyFont="1" applyFill="1" applyBorder="1"/>
    <xf numFmtId="3" fontId="19" fillId="14" borderId="4" xfId="0" applyNumberFormat="1" applyFont="1" applyFill="1" applyBorder="1"/>
    <xf numFmtId="0" fontId="19" fillId="15" borderId="4" xfId="0" applyFont="1" applyFill="1" applyBorder="1"/>
    <xf numFmtId="0" fontId="19" fillId="5" borderId="4" xfId="0" applyFont="1" applyFill="1" applyBorder="1"/>
    <xf numFmtId="165" fontId="19" fillId="5" borderId="4" xfId="0" applyNumberFormat="1" applyFont="1" applyFill="1" applyBorder="1"/>
    <xf numFmtId="0" fontId="20" fillId="16" borderId="4" xfId="0" applyFont="1" applyFill="1" applyBorder="1"/>
    <xf numFmtId="165" fontId="20" fillId="16" borderId="4" xfId="0" applyNumberFormat="1" applyFont="1" applyFill="1" applyBorder="1"/>
    <xf numFmtId="0" fontId="20" fillId="17" borderId="4" xfId="0" applyFont="1" applyFill="1" applyBorder="1"/>
    <xf numFmtId="165" fontId="20" fillId="17" borderId="4" xfId="0" applyNumberFormat="1" applyFont="1" applyFill="1" applyBorder="1"/>
    <xf numFmtId="0" fontId="21" fillId="0" borderId="0" xfId="0" applyFont="1"/>
    <xf numFmtId="0" fontId="9" fillId="0" borderId="0" xfId="0" applyFont="1"/>
    <xf numFmtId="0" fontId="22" fillId="0" borderId="0" xfId="0" applyFont="1"/>
    <xf numFmtId="0" fontId="17" fillId="18" borderId="10" xfId="0" applyFont="1" applyFill="1" applyBorder="1" applyAlignment="1">
      <alignment horizontal="center"/>
    </xf>
    <xf numFmtId="0" fontId="17" fillId="0" borderId="4" xfId="0" applyFont="1" applyBorder="1"/>
    <xf numFmtId="167" fontId="9" fillId="0" borderId="4" xfId="0" applyNumberFormat="1" applyFont="1" applyBorder="1"/>
    <xf numFmtId="10" fontId="9" fillId="0" borderId="4" xfId="0" applyNumberFormat="1" applyFont="1" applyBorder="1"/>
    <xf numFmtId="4" fontId="9" fillId="19" borderId="4" xfId="0" applyNumberFormat="1" applyFont="1" applyFill="1" applyBorder="1"/>
    <xf numFmtId="0" fontId="17" fillId="0" borderId="0" xfId="0" applyFont="1"/>
    <xf numFmtId="4" fontId="9" fillId="0" borderId="0" xfId="0" applyNumberFormat="1" applyFont="1"/>
    <xf numFmtId="0" fontId="17" fillId="20" borderId="4" xfId="0" applyFont="1" applyFill="1" applyBorder="1"/>
    <xf numFmtId="0" fontId="21" fillId="20" borderId="4" xfId="0" applyFont="1" applyFill="1" applyBorder="1"/>
    <xf numFmtId="4" fontId="22" fillId="0" borderId="4" xfId="0" applyNumberFormat="1" applyFont="1" applyBorder="1"/>
    <xf numFmtId="2" fontId="9" fillId="0" borderId="1" xfId="0" applyNumberFormat="1" applyFont="1" applyBorder="1"/>
    <xf numFmtId="0" fontId="7" fillId="0" borderId="18" xfId="0" applyFont="1" applyBorder="1" applyAlignment="1">
      <alignment wrapText="1"/>
    </xf>
    <xf numFmtId="0" fontId="8" fillId="0" borderId="18" xfId="0" applyFont="1" applyBorder="1"/>
    <xf numFmtId="9" fontId="8" fillId="0" borderId="18" xfId="0" applyNumberFormat="1" applyFont="1" applyBorder="1"/>
    <xf numFmtId="0" fontId="9" fillId="0" borderId="18" xfId="0" applyFont="1" applyBorder="1"/>
    <xf numFmtId="4" fontId="9" fillId="0" borderId="18" xfId="0" applyNumberFormat="1" applyFont="1" applyBorder="1"/>
    <xf numFmtId="9" fontId="9" fillId="0" borderId="18" xfId="0" applyNumberFormat="1" applyFont="1" applyBorder="1"/>
    <xf numFmtId="2" fontId="9" fillId="0" borderId="18" xfId="0" applyNumberFormat="1" applyFont="1" applyBorder="1"/>
    <xf numFmtId="2" fontId="9" fillId="0" borderId="19" xfId="0" applyNumberFormat="1" applyFont="1" applyBorder="1"/>
    <xf numFmtId="49" fontId="5" fillId="4" borderId="28" xfId="0" applyNumberFormat="1" applyFont="1" applyFill="1" applyBorder="1" applyAlignment="1">
      <alignment horizontal="center" vertical="center" wrapText="1"/>
    </xf>
    <xf numFmtId="49" fontId="5" fillId="4" borderId="29" xfId="0" applyNumberFormat="1" applyFont="1" applyFill="1" applyBorder="1" applyAlignment="1">
      <alignment horizontal="center" vertical="center" wrapText="1"/>
    </xf>
    <xf numFmtId="49" fontId="5" fillId="5" borderId="28" xfId="0" applyNumberFormat="1" applyFont="1" applyFill="1" applyBorder="1" applyAlignment="1">
      <alignment horizontal="center" vertical="center" wrapText="1"/>
    </xf>
    <xf numFmtId="49" fontId="5" fillId="6" borderId="28" xfId="0" applyNumberFormat="1" applyFont="1" applyFill="1" applyBorder="1" applyAlignment="1">
      <alignment horizontal="center" vertical="center" wrapText="1"/>
    </xf>
    <xf numFmtId="2" fontId="0" fillId="0" borderId="25" xfId="0" applyNumberFormat="1" applyBorder="1"/>
    <xf numFmtId="0" fontId="3" fillId="0" borderId="9" xfId="0" applyFont="1" applyBorder="1" applyAlignment="1">
      <alignment horizontal="center" vertical="center"/>
    </xf>
    <xf numFmtId="0" fontId="1" fillId="0" borderId="0" xfId="0" applyFont="1"/>
    <xf numFmtId="3" fontId="1" fillId="0" borderId="0" xfId="0" applyNumberFormat="1" applyFont="1"/>
    <xf numFmtId="3" fontId="0" fillId="0" borderId="37" xfId="0" applyNumberFormat="1" applyBorder="1"/>
    <xf numFmtId="0" fontId="8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8" fillId="0" borderId="19" xfId="0" applyFont="1" applyBorder="1"/>
    <xf numFmtId="0" fontId="3" fillId="0" borderId="24" xfId="0" applyFont="1" applyBorder="1"/>
    <xf numFmtId="0" fontId="3" fillId="0" borderId="26" xfId="0" applyFont="1" applyBorder="1"/>
    <xf numFmtId="0" fontId="0" fillId="0" borderId="0" xfId="0"/>
    <xf numFmtId="0" fontId="0" fillId="0" borderId="0" xfId="0" applyAlignment="1">
      <alignment horizontal="left" vertical="center"/>
    </xf>
    <xf numFmtId="0" fontId="28" fillId="21" borderId="25" xfId="3" applyFont="1" applyFill="1" applyBorder="1" applyAlignment="1">
      <alignment horizontal="left" vertical="center" wrapText="1"/>
    </xf>
    <xf numFmtId="0" fontId="28" fillId="21" borderId="25" xfId="3" applyFont="1" applyFill="1" applyBorder="1" applyAlignment="1">
      <alignment horizontal="right"/>
    </xf>
    <xf numFmtId="0" fontId="29" fillId="0" borderId="25" xfId="0" applyFont="1" applyBorder="1"/>
    <xf numFmtId="0" fontId="29" fillId="0" borderId="25" xfId="0" applyFont="1" applyBorder="1" applyAlignment="1">
      <alignment horizontal="right"/>
    </xf>
    <xf numFmtId="44" fontId="29" fillId="0" borderId="25" xfId="1" applyFont="1" applyBorder="1" applyAlignment="1">
      <alignment horizontal="right"/>
    </xf>
    <xf numFmtId="0" fontId="26" fillId="22" borderId="39" xfId="2" applyFill="1" applyBorder="1" applyAlignment="1">
      <alignment horizontal="center" vertical="center"/>
    </xf>
    <xf numFmtId="0" fontId="26" fillId="22" borderId="40" xfId="2" applyFill="1" applyBorder="1" applyAlignment="1">
      <alignment horizontal="center" vertical="center"/>
    </xf>
    <xf numFmtId="49" fontId="5" fillId="4" borderId="30" xfId="0" applyNumberFormat="1" applyFont="1" applyFill="1" applyBorder="1" applyAlignment="1">
      <alignment horizontal="center" vertical="center" wrapText="1"/>
    </xf>
    <xf numFmtId="49" fontId="5" fillId="4" borderId="31" xfId="0" applyNumberFormat="1" applyFont="1" applyFill="1" applyBorder="1" applyAlignment="1">
      <alignment horizontal="center" vertical="center" wrapText="1"/>
    </xf>
    <xf numFmtId="49" fontId="5" fillId="4" borderId="32" xfId="0" applyNumberFormat="1" applyFont="1" applyFill="1" applyBorder="1" applyAlignment="1">
      <alignment horizontal="center" vertical="center" wrapText="1"/>
    </xf>
    <xf numFmtId="2" fontId="9" fillId="0" borderId="35" xfId="0" applyNumberFormat="1" applyFont="1" applyBorder="1" applyAlignment="1">
      <alignment horizontal="center" vertical="center"/>
    </xf>
    <xf numFmtId="2" fontId="9" fillId="0" borderId="34" xfId="0" applyNumberFormat="1" applyFont="1" applyBorder="1" applyAlignment="1">
      <alignment horizontal="center" vertical="center"/>
    </xf>
    <xf numFmtId="2" fontId="9" fillId="0" borderId="27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3" fillId="0" borderId="7" xfId="0" applyFont="1" applyBorder="1"/>
    <xf numFmtId="2" fontId="9" fillId="0" borderId="8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/>
    <xf numFmtId="0" fontId="24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2" fontId="9" fillId="0" borderId="33" xfId="0" applyNumberFormat="1" applyFont="1" applyBorder="1" applyAlignment="1">
      <alignment horizontal="center" vertical="center"/>
    </xf>
    <xf numFmtId="0" fontId="2" fillId="2" borderId="30" xfId="0" applyFont="1" applyFill="1" applyBorder="1" applyAlignment="1">
      <alignment horizontal="center" wrapText="1"/>
    </xf>
    <xf numFmtId="0" fontId="3" fillId="0" borderId="31" xfId="0" applyFont="1" applyBorder="1"/>
    <xf numFmtId="0" fontId="3" fillId="0" borderId="32" xfId="0" applyFont="1" applyBorder="1"/>
    <xf numFmtId="0" fontId="4" fillId="3" borderId="30" xfId="0" applyFont="1" applyFill="1" applyBorder="1" applyAlignment="1">
      <alignment horizontal="center"/>
    </xf>
    <xf numFmtId="0" fontId="14" fillId="9" borderId="11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0" fontId="14" fillId="9" borderId="14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0" fontId="14" fillId="9" borderId="23" xfId="0" applyFont="1" applyFill="1" applyBorder="1" applyAlignment="1">
      <alignment horizontal="center" vertical="center"/>
    </xf>
    <xf numFmtId="0" fontId="3" fillId="0" borderId="24" xfId="0" applyFont="1" applyBorder="1"/>
    <xf numFmtId="0" fontId="21" fillId="0" borderId="0" xfId="0" applyFont="1" applyAlignment="1">
      <alignment horizontal="center"/>
    </xf>
    <xf numFmtId="0" fontId="0" fillId="0" borderId="0" xfId="0"/>
    <xf numFmtId="0" fontId="4" fillId="3" borderId="25" xfId="0" applyFont="1" applyFill="1" applyBorder="1" applyAlignment="1">
      <alignment horizontal="center"/>
    </xf>
    <xf numFmtId="0" fontId="3" fillId="0" borderId="25" xfId="0" applyFont="1" applyBorder="1"/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</cellXfs>
  <cellStyles count="4">
    <cellStyle name="Encabezado 1" xfId="2" builtinId="16"/>
    <cellStyle name="Encabezado 4" xfId="3" builtinId="19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SE GIOVANNY NASPUCIL TORRES" id="{FE6B705F-B36E-4B00-89A5-BE3D387A2880}" userId="S::jgnaspucilt@correo.usbcali.edu.co::92b4dad1-f39b-494f-9d7f-1c455463cf06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6-05-21T21:16:43.53" personId="{FE6B705F-B36E-4B00-89A5-BE3D387A2880}" id="{F7FC7476-AC2F-430C-ACE6-9FD4D203202F}">
    <text xml:space="preserve">3 Developers Junior 
1 Scrum Master 
2 Product Owners  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5" dT="2026-05-21T21:16:43.53" personId="{FE6B705F-B36E-4B00-89A5-BE3D387A2880}" id="{A5BC1472-B09C-486C-B68F-8BD9FE668BA8}">
    <text xml:space="preserve">3 Developers Junior 
1 Scrum Master 
2 Product Owners 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5"/>
  <sheetViews>
    <sheetView tabSelected="1" zoomScale="75" zoomScaleNormal="75" workbookViewId="0">
      <selection activeCell="C10" sqref="C10"/>
    </sheetView>
  </sheetViews>
  <sheetFormatPr baseColWidth="10" defaultColWidth="14.42578125" defaultRowHeight="15" customHeight="1" x14ac:dyDescent="0.25"/>
  <cols>
    <col min="1" max="1" width="15.42578125" customWidth="1"/>
    <col min="2" max="2" width="25.140625" customWidth="1"/>
    <col min="3" max="3" width="27" customWidth="1"/>
    <col min="4" max="4" width="10.7109375" bestFit="1" customWidth="1"/>
    <col min="5" max="5" width="25.42578125" bestFit="1" customWidth="1"/>
    <col min="6" max="6" width="21.85546875" bestFit="1" customWidth="1"/>
    <col min="7" max="7" width="18.85546875" customWidth="1"/>
    <col min="8" max="8" width="14.5703125" customWidth="1"/>
    <col min="9" max="9" width="12.140625" customWidth="1"/>
    <col min="10" max="10" width="10.85546875" customWidth="1"/>
    <col min="11" max="11" width="29" customWidth="1"/>
    <col min="12" max="12" width="10.7109375" customWidth="1"/>
    <col min="13" max="13" width="8.85546875" bestFit="1" customWidth="1"/>
    <col min="14" max="14" width="12.85546875" bestFit="1" customWidth="1"/>
    <col min="15" max="15" width="11.5703125" bestFit="1" customWidth="1"/>
    <col min="16" max="16" width="12.42578125" customWidth="1"/>
    <col min="17" max="17" width="10.42578125" bestFit="1" customWidth="1"/>
    <col min="18" max="18" width="12.28515625" bestFit="1" customWidth="1"/>
    <col min="19" max="19" width="14.42578125" bestFit="1" customWidth="1"/>
    <col min="20" max="22" width="10.7109375" customWidth="1"/>
    <col min="28" max="28" width="28.42578125" customWidth="1"/>
    <col min="29" max="29" width="26.7109375" customWidth="1"/>
  </cols>
  <sheetData>
    <row r="1" spans="1:7" ht="28.5" customHeight="1" x14ac:dyDescent="0.25">
      <c r="A1" s="104"/>
      <c r="B1" s="110" t="s">
        <v>156</v>
      </c>
      <c r="C1" s="111"/>
    </row>
    <row r="2" spans="1:7" ht="27" customHeight="1" x14ac:dyDescent="0.25">
      <c r="B2" s="105" t="s">
        <v>67</v>
      </c>
      <c r="C2" s="106" t="s">
        <v>155</v>
      </c>
    </row>
    <row r="3" spans="1:7" x14ac:dyDescent="0.25">
      <c r="B3" s="107" t="s">
        <v>157</v>
      </c>
      <c r="C3" s="108" t="s">
        <v>162</v>
      </c>
    </row>
    <row r="4" spans="1:7" ht="15.75" customHeight="1" x14ac:dyDescent="0.25">
      <c r="B4" s="107" t="s">
        <v>158</v>
      </c>
      <c r="C4" s="108" t="s">
        <v>163</v>
      </c>
    </row>
    <row r="5" spans="1:7" x14ac:dyDescent="0.25">
      <c r="B5" s="107" t="s">
        <v>159</v>
      </c>
      <c r="C5" s="108">
        <v>6</v>
      </c>
    </row>
    <row r="6" spans="1:7" x14ac:dyDescent="0.25">
      <c r="B6" s="107" t="s">
        <v>160</v>
      </c>
      <c r="C6" s="108" t="s">
        <v>164</v>
      </c>
    </row>
    <row r="7" spans="1:7" x14ac:dyDescent="0.25">
      <c r="B7" s="107" t="s">
        <v>161</v>
      </c>
      <c r="C7" s="109">
        <v>86880564</v>
      </c>
    </row>
    <row r="8" spans="1:7" x14ac:dyDescent="0.25"/>
    <row r="9" spans="1:7" x14ac:dyDescent="0.25"/>
    <row r="10" spans="1:7" x14ac:dyDescent="0.25"/>
    <row r="11" spans="1:7" x14ac:dyDescent="0.25"/>
    <row r="12" spans="1:7" x14ac:dyDescent="0.25"/>
    <row r="13" spans="1:7" ht="18.75" x14ac:dyDescent="0.3">
      <c r="A13" s="123" t="s">
        <v>18</v>
      </c>
      <c r="B13" s="124"/>
      <c r="C13" s="124"/>
      <c r="D13" s="124"/>
      <c r="E13" s="142" t="s">
        <v>1</v>
      </c>
      <c r="F13" s="143"/>
      <c r="G13" s="143"/>
    </row>
    <row r="14" spans="1:7" ht="24" x14ac:dyDescent="0.25">
      <c r="A14" s="1" t="s">
        <v>2</v>
      </c>
      <c r="B14" s="2" t="s">
        <v>19</v>
      </c>
      <c r="C14" s="3" t="s">
        <v>4</v>
      </c>
      <c r="D14" s="3" t="s">
        <v>20</v>
      </c>
      <c r="E14" s="4" t="s">
        <v>21</v>
      </c>
      <c r="F14" s="4" t="s">
        <v>16</v>
      </c>
      <c r="G14" s="5" t="s">
        <v>22</v>
      </c>
    </row>
    <row r="15" spans="1:7" ht="24.75" x14ac:dyDescent="0.25">
      <c r="A15" s="125" t="s">
        <v>144</v>
      </c>
      <c r="B15" s="93" t="s">
        <v>94</v>
      </c>
      <c r="C15" s="11" t="s">
        <v>146</v>
      </c>
      <c r="D15" s="7">
        <v>3</v>
      </c>
      <c r="E15" s="10">
        <v>1180242</v>
      </c>
      <c r="F15" s="10">
        <f>E15*D15</f>
        <v>3540726</v>
      </c>
      <c r="G15" s="122">
        <f>SUM(F15:F22)</f>
        <v>34227018</v>
      </c>
    </row>
    <row r="16" spans="1:7" ht="36.75" x14ac:dyDescent="0.25">
      <c r="A16" s="126"/>
      <c r="B16" s="93" t="s">
        <v>126</v>
      </c>
      <c r="C16" s="11" t="s">
        <v>127</v>
      </c>
      <c r="D16" s="7">
        <v>2</v>
      </c>
      <c r="E16" s="10">
        <v>1180242</v>
      </c>
      <c r="F16" s="10">
        <f t="shared" ref="F16:F28" si="0">E16*D16</f>
        <v>2360484</v>
      </c>
      <c r="G16" s="121"/>
    </row>
    <row r="17" spans="1:10" ht="36.75" x14ac:dyDescent="0.25">
      <c r="A17" s="126"/>
      <c r="B17" s="93" t="s">
        <v>96</v>
      </c>
      <c r="C17" s="11" t="s">
        <v>129</v>
      </c>
      <c r="D17" s="7">
        <v>2</v>
      </c>
      <c r="E17" s="10">
        <v>1180242</v>
      </c>
      <c r="F17" s="10">
        <f t="shared" si="0"/>
        <v>2360484</v>
      </c>
      <c r="G17" s="121"/>
    </row>
    <row r="18" spans="1:10" ht="24.75" x14ac:dyDescent="0.25">
      <c r="A18" s="126"/>
      <c r="B18" s="93" t="s">
        <v>97</v>
      </c>
      <c r="C18" s="11" t="s">
        <v>128</v>
      </c>
      <c r="D18" s="12">
        <v>5</v>
      </c>
      <c r="E18" s="10">
        <v>1180242</v>
      </c>
      <c r="F18" s="10">
        <f t="shared" si="0"/>
        <v>5901210</v>
      </c>
      <c r="G18" s="121"/>
    </row>
    <row r="19" spans="1:10" ht="24.75" x14ac:dyDescent="0.25">
      <c r="A19" s="126"/>
      <c r="B19" s="93" t="s">
        <v>98</v>
      </c>
      <c r="C19" s="11" t="s">
        <v>130</v>
      </c>
      <c r="D19" s="7">
        <v>5</v>
      </c>
      <c r="E19" s="10">
        <v>1180242</v>
      </c>
      <c r="F19" s="10">
        <f t="shared" si="0"/>
        <v>5901210</v>
      </c>
      <c r="G19" s="121"/>
    </row>
    <row r="20" spans="1:10" ht="24.75" x14ac:dyDescent="0.25">
      <c r="A20" s="126"/>
      <c r="B20" s="93" t="s">
        <v>99</v>
      </c>
      <c r="C20" s="11" t="s">
        <v>130</v>
      </c>
      <c r="D20" s="7">
        <v>2</v>
      </c>
      <c r="E20" s="10">
        <v>1180242</v>
      </c>
      <c r="F20" s="10">
        <f t="shared" si="0"/>
        <v>2360484</v>
      </c>
      <c r="G20" s="121"/>
    </row>
    <row r="21" spans="1:10" ht="24.75" x14ac:dyDescent="0.25">
      <c r="A21" s="126"/>
      <c r="B21" s="93" t="s">
        <v>100</v>
      </c>
      <c r="C21" s="11" t="s">
        <v>131</v>
      </c>
      <c r="D21" s="7">
        <v>2</v>
      </c>
      <c r="E21" s="10">
        <v>1180242</v>
      </c>
      <c r="F21" s="10">
        <f t="shared" si="0"/>
        <v>2360484</v>
      </c>
      <c r="G21" s="121"/>
    </row>
    <row r="22" spans="1:10" ht="24.75" x14ac:dyDescent="0.25">
      <c r="A22" s="126"/>
      <c r="B22" s="93" t="s">
        <v>101</v>
      </c>
      <c r="C22" s="11" t="s">
        <v>132</v>
      </c>
      <c r="D22" s="7">
        <v>8</v>
      </c>
      <c r="E22" s="10">
        <v>1180242</v>
      </c>
      <c r="F22" s="10">
        <f t="shared" si="0"/>
        <v>9441936</v>
      </c>
      <c r="G22" s="121"/>
    </row>
    <row r="23" spans="1:10" ht="24.75" x14ac:dyDescent="0.25">
      <c r="A23" s="118" t="s">
        <v>145</v>
      </c>
      <c r="B23" s="93" t="s">
        <v>102</v>
      </c>
      <c r="C23" s="11" t="s">
        <v>137</v>
      </c>
      <c r="D23" s="7">
        <v>13</v>
      </c>
      <c r="E23" s="10">
        <v>1180242</v>
      </c>
      <c r="F23" s="10">
        <f t="shared" si="0"/>
        <v>15343146</v>
      </c>
      <c r="G23" s="120">
        <f>SUM(F23:F28)</f>
        <v>42488712</v>
      </c>
    </row>
    <row r="24" spans="1:10" ht="24.75" x14ac:dyDescent="0.25">
      <c r="A24" s="119"/>
      <c r="B24" s="93" t="s">
        <v>103</v>
      </c>
      <c r="C24" s="11" t="s">
        <v>138</v>
      </c>
      <c r="D24" s="7">
        <v>5</v>
      </c>
      <c r="E24" s="10">
        <v>1180242</v>
      </c>
      <c r="F24" s="10">
        <f t="shared" si="0"/>
        <v>5901210</v>
      </c>
      <c r="G24" s="121"/>
    </row>
    <row r="25" spans="1:10" ht="24.75" x14ac:dyDescent="0.25">
      <c r="A25" s="119"/>
      <c r="B25" s="93" t="s">
        <v>104</v>
      </c>
      <c r="C25" s="11" t="s">
        <v>139</v>
      </c>
      <c r="D25" s="7">
        <v>5</v>
      </c>
      <c r="E25" s="10">
        <v>1180242</v>
      </c>
      <c r="F25" s="10">
        <f t="shared" si="0"/>
        <v>5901210</v>
      </c>
      <c r="G25" s="121"/>
    </row>
    <row r="26" spans="1:10" ht="24.75" x14ac:dyDescent="0.25">
      <c r="A26" s="119"/>
      <c r="B26" s="93" t="s">
        <v>105</v>
      </c>
      <c r="C26" s="11" t="s">
        <v>140</v>
      </c>
      <c r="D26" s="7">
        <v>5</v>
      </c>
      <c r="E26" s="10">
        <v>1180242</v>
      </c>
      <c r="F26" s="10">
        <f t="shared" si="0"/>
        <v>5901210</v>
      </c>
      <c r="G26" s="121"/>
    </row>
    <row r="27" spans="1:10" ht="36.75" x14ac:dyDescent="0.25">
      <c r="A27" s="119"/>
      <c r="B27" s="93" t="s">
        <v>106</v>
      </c>
      <c r="C27" s="11" t="s">
        <v>141</v>
      </c>
      <c r="D27" s="7">
        <v>5</v>
      </c>
      <c r="E27" s="10">
        <v>1180242</v>
      </c>
      <c r="F27" s="10">
        <f t="shared" si="0"/>
        <v>5901210</v>
      </c>
      <c r="G27" s="121"/>
    </row>
    <row r="28" spans="1:10" ht="24.75" x14ac:dyDescent="0.25">
      <c r="A28" s="119"/>
      <c r="B28" s="93" t="s">
        <v>107</v>
      </c>
      <c r="C28" s="11" t="s">
        <v>142</v>
      </c>
      <c r="D28" s="7">
        <v>3</v>
      </c>
      <c r="E28" s="10">
        <v>1180242</v>
      </c>
      <c r="F28" s="10">
        <f t="shared" si="0"/>
        <v>3540726</v>
      </c>
      <c r="G28" s="121"/>
    </row>
    <row r="29" spans="1:10" ht="15.75" customHeight="1" x14ac:dyDescent="0.25">
      <c r="A29" s="103"/>
      <c r="B29" s="103"/>
      <c r="C29" s="103"/>
      <c r="D29" s="103"/>
      <c r="E29" s="103"/>
      <c r="F29" s="103"/>
      <c r="G29" s="92">
        <f>SUM(G15:G28)</f>
        <v>76715730</v>
      </c>
      <c r="J29" s="103"/>
    </row>
    <row r="30" spans="1:10" ht="15.75" customHeight="1" x14ac:dyDescent="0.25">
      <c r="J30" s="103"/>
    </row>
    <row r="31" spans="1:10" ht="15.75" customHeight="1" x14ac:dyDescent="0.25">
      <c r="J31" s="103"/>
    </row>
    <row r="32" spans="1:10" ht="15.75" customHeight="1" thickBot="1" x14ac:dyDescent="0.3"/>
    <row r="33" spans="1:19" ht="19.5" thickBot="1" x14ac:dyDescent="0.35">
      <c r="A33" s="128" t="s">
        <v>0</v>
      </c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30"/>
      <c r="Q33" s="131" t="s">
        <v>1</v>
      </c>
      <c r="R33" s="129"/>
      <c r="S33" s="130"/>
    </row>
    <row r="34" spans="1:19" ht="60.75" thickBot="1" x14ac:dyDescent="0.3">
      <c r="A34" s="88" t="s">
        <v>2</v>
      </c>
      <c r="B34" s="89" t="s">
        <v>3</v>
      </c>
      <c r="C34" s="88" t="s">
        <v>4</v>
      </c>
      <c r="D34" s="88" t="s">
        <v>5</v>
      </c>
      <c r="E34" s="112" t="s">
        <v>6</v>
      </c>
      <c r="F34" s="113"/>
      <c r="G34" s="114"/>
      <c r="H34" s="88" t="s">
        <v>7</v>
      </c>
      <c r="I34" s="88" t="s">
        <v>8</v>
      </c>
      <c r="J34" s="88" t="s">
        <v>9</v>
      </c>
      <c r="K34" s="88" t="s">
        <v>10</v>
      </c>
      <c r="L34" s="88" t="s">
        <v>93</v>
      </c>
      <c r="M34" s="88" t="s">
        <v>11</v>
      </c>
      <c r="N34" s="88" t="s">
        <v>12</v>
      </c>
      <c r="O34" s="88" t="s">
        <v>13</v>
      </c>
      <c r="P34" s="88" t="s">
        <v>14</v>
      </c>
      <c r="Q34" s="90" t="s">
        <v>15</v>
      </c>
      <c r="R34" s="90" t="s">
        <v>16</v>
      </c>
      <c r="S34" s="91" t="s">
        <v>17</v>
      </c>
    </row>
    <row r="35" spans="1:19" ht="28.5" x14ac:dyDescent="0.25">
      <c r="A35" s="148" t="s">
        <v>108</v>
      </c>
      <c r="B35" s="80" t="s">
        <v>109</v>
      </c>
      <c r="C35" s="80" t="s">
        <v>115</v>
      </c>
      <c r="D35" s="81" t="s">
        <v>92</v>
      </c>
      <c r="E35" s="100" t="s">
        <v>121</v>
      </c>
      <c r="F35" s="101"/>
      <c r="G35" s="102"/>
      <c r="H35" s="82">
        <v>0.09</v>
      </c>
      <c r="I35" s="83">
        <v>10</v>
      </c>
      <c r="J35" s="83">
        <v>7</v>
      </c>
      <c r="K35" s="83">
        <v>4</v>
      </c>
      <c r="L35" s="83">
        <f t="shared" ref="L35:L48" si="1">(I35+4*J35+K35)/6</f>
        <v>7</v>
      </c>
      <c r="M35" s="84">
        <f t="shared" ref="M35:M48" si="2">(I35-K35)/6</f>
        <v>1</v>
      </c>
      <c r="N35" s="84">
        <f>(L35+M35)*8</f>
        <v>64</v>
      </c>
      <c r="O35" s="85">
        <v>0.09</v>
      </c>
      <c r="P35" s="84">
        <f>N35*O35</f>
        <v>5.76</v>
      </c>
      <c r="Q35" s="86">
        <v>44574</v>
      </c>
      <c r="R35" s="87">
        <f>Q35*P35</f>
        <v>256746.23999999999</v>
      </c>
      <c r="S35" s="127">
        <f>SUM(R35:R40)</f>
        <v>1621080</v>
      </c>
    </row>
    <row r="36" spans="1:19" ht="19.5" x14ac:dyDescent="0.25">
      <c r="A36" s="145"/>
      <c r="B36" s="6" t="s">
        <v>110</v>
      </c>
      <c r="C36" s="6" t="s">
        <v>116</v>
      </c>
      <c r="D36" s="7" t="s">
        <v>92</v>
      </c>
      <c r="E36" s="97" t="s">
        <v>122</v>
      </c>
      <c r="F36" s="98"/>
      <c r="G36" s="99"/>
      <c r="H36" s="82">
        <v>0.09</v>
      </c>
      <c r="I36" s="8">
        <v>3</v>
      </c>
      <c r="J36" s="8">
        <v>2</v>
      </c>
      <c r="K36" s="8">
        <v>1</v>
      </c>
      <c r="L36" s="8">
        <f t="shared" si="1"/>
        <v>2</v>
      </c>
      <c r="M36" s="9">
        <f t="shared" si="2"/>
        <v>0.33333333333333331</v>
      </c>
      <c r="N36" s="9">
        <f t="shared" ref="N36:N48" si="3">(L36+M36)*8</f>
        <v>18.666666666666668</v>
      </c>
      <c r="O36" s="85">
        <v>0.09</v>
      </c>
      <c r="P36" s="9">
        <f t="shared" ref="P36:P48" si="4">N36*O36</f>
        <v>1.68</v>
      </c>
      <c r="Q36" s="86">
        <v>44574</v>
      </c>
      <c r="R36" s="79">
        <f t="shared" ref="R36:R48" si="5">Q36*P36</f>
        <v>74884.319999999992</v>
      </c>
      <c r="S36" s="116"/>
    </row>
    <row r="37" spans="1:19" ht="19.5" x14ac:dyDescent="0.25">
      <c r="A37" s="145"/>
      <c r="B37" s="6" t="s">
        <v>111</v>
      </c>
      <c r="C37" s="6" t="s">
        <v>119</v>
      </c>
      <c r="D37" s="7" t="s">
        <v>92</v>
      </c>
      <c r="E37" s="97" t="s">
        <v>123</v>
      </c>
      <c r="F37" s="98"/>
      <c r="G37" s="99"/>
      <c r="H37" s="82">
        <v>0.09</v>
      </c>
      <c r="I37" s="8">
        <v>14</v>
      </c>
      <c r="J37" s="8">
        <v>10</v>
      </c>
      <c r="K37" s="8">
        <v>6</v>
      </c>
      <c r="L37" s="8">
        <f t="shared" si="1"/>
        <v>10</v>
      </c>
      <c r="M37" s="9">
        <f t="shared" si="2"/>
        <v>1.3333333333333333</v>
      </c>
      <c r="N37" s="9">
        <f t="shared" si="3"/>
        <v>90.666666666666671</v>
      </c>
      <c r="O37" s="85">
        <v>0.09</v>
      </c>
      <c r="P37" s="9">
        <f t="shared" si="4"/>
        <v>8.16</v>
      </c>
      <c r="Q37" s="86">
        <v>44574</v>
      </c>
      <c r="R37" s="79">
        <f t="shared" si="5"/>
        <v>363723.84</v>
      </c>
      <c r="S37" s="116"/>
    </row>
    <row r="38" spans="1:19" ht="19.5" x14ac:dyDescent="0.25">
      <c r="A38" s="145"/>
      <c r="B38" s="6" t="s">
        <v>112</v>
      </c>
      <c r="C38" s="6" t="s">
        <v>118</v>
      </c>
      <c r="D38" s="7" t="s">
        <v>92</v>
      </c>
      <c r="E38" s="97" t="s">
        <v>123</v>
      </c>
      <c r="F38" s="98"/>
      <c r="G38" s="99"/>
      <c r="H38" s="82">
        <v>0.09</v>
      </c>
      <c r="I38" s="8">
        <v>10</v>
      </c>
      <c r="J38" s="8">
        <v>7</v>
      </c>
      <c r="K38" s="8">
        <v>4</v>
      </c>
      <c r="L38" s="8">
        <f t="shared" si="1"/>
        <v>7</v>
      </c>
      <c r="M38" s="9">
        <f t="shared" si="2"/>
        <v>1</v>
      </c>
      <c r="N38" s="9">
        <f t="shared" si="3"/>
        <v>64</v>
      </c>
      <c r="O38" s="85">
        <v>0.09</v>
      </c>
      <c r="P38" s="9">
        <f t="shared" si="4"/>
        <v>5.76</v>
      </c>
      <c r="Q38" s="86">
        <v>44574</v>
      </c>
      <c r="R38" s="79">
        <f t="shared" si="5"/>
        <v>256746.23999999999</v>
      </c>
      <c r="S38" s="116"/>
    </row>
    <row r="39" spans="1:19" ht="19.5" x14ac:dyDescent="0.25">
      <c r="A39" s="145"/>
      <c r="B39" s="6" t="s">
        <v>113</v>
      </c>
      <c r="C39" s="6" t="s">
        <v>120</v>
      </c>
      <c r="D39" s="7" t="s">
        <v>92</v>
      </c>
      <c r="E39" s="97" t="s">
        <v>124</v>
      </c>
      <c r="F39" s="98"/>
      <c r="G39" s="99"/>
      <c r="H39" s="82">
        <v>0.09</v>
      </c>
      <c r="I39" s="8">
        <v>6</v>
      </c>
      <c r="J39" s="8">
        <v>4</v>
      </c>
      <c r="K39" s="8">
        <v>2</v>
      </c>
      <c r="L39" s="8">
        <f t="shared" si="1"/>
        <v>4</v>
      </c>
      <c r="M39" s="9">
        <f t="shared" si="2"/>
        <v>0.66666666666666663</v>
      </c>
      <c r="N39" s="9">
        <f t="shared" si="3"/>
        <v>37.333333333333336</v>
      </c>
      <c r="O39" s="85">
        <v>0.09</v>
      </c>
      <c r="P39" s="9">
        <f t="shared" si="4"/>
        <v>3.36</v>
      </c>
      <c r="Q39" s="86">
        <v>73353</v>
      </c>
      <c r="R39" s="79">
        <f t="shared" si="5"/>
        <v>246466.08</v>
      </c>
      <c r="S39" s="116"/>
    </row>
    <row r="40" spans="1:19" ht="19.5" x14ac:dyDescent="0.25">
      <c r="A40" s="147"/>
      <c r="B40" s="6" t="s">
        <v>114</v>
      </c>
      <c r="C40" s="6" t="s">
        <v>117</v>
      </c>
      <c r="D40" s="7" t="s">
        <v>92</v>
      </c>
      <c r="E40" s="97" t="s">
        <v>124</v>
      </c>
      <c r="F40" s="98"/>
      <c r="G40" s="99"/>
      <c r="H40" s="82">
        <v>0.09</v>
      </c>
      <c r="I40" s="8">
        <v>10</v>
      </c>
      <c r="J40" s="8">
        <v>7</v>
      </c>
      <c r="K40" s="8">
        <v>4</v>
      </c>
      <c r="L40" s="8">
        <f t="shared" si="1"/>
        <v>7</v>
      </c>
      <c r="M40" s="9">
        <f t="shared" si="2"/>
        <v>1</v>
      </c>
      <c r="N40" s="9">
        <f t="shared" si="3"/>
        <v>64</v>
      </c>
      <c r="O40" s="85">
        <v>0.09</v>
      </c>
      <c r="P40" s="9">
        <f t="shared" si="4"/>
        <v>5.76</v>
      </c>
      <c r="Q40" s="86">
        <v>73353</v>
      </c>
      <c r="R40" s="79">
        <f t="shared" si="5"/>
        <v>422513.27999999997</v>
      </c>
      <c r="S40" s="117"/>
    </row>
    <row r="41" spans="1:19" ht="19.5" x14ac:dyDescent="0.25">
      <c r="A41" s="144" t="s">
        <v>125</v>
      </c>
      <c r="B41" s="6" t="s">
        <v>94</v>
      </c>
      <c r="C41" s="6" t="s">
        <v>95</v>
      </c>
      <c r="D41" s="7" t="s">
        <v>92</v>
      </c>
      <c r="E41" s="97" t="s">
        <v>133</v>
      </c>
      <c r="F41" s="98"/>
      <c r="G41" s="99"/>
      <c r="H41" s="82">
        <v>0.09</v>
      </c>
      <c r="I41" s="8">
        <v>22</v>
      </c>
      <c r="J41" s="8">
        <v>18</v>
      </c>
      <c r="K41" s="8">
        <v>14</v>
      </c>
      <c r="L41" s="8">
        <f t="shared" si="1"/>
        <v>18</v>
      </c>
      <c r="M41" s="9">
        <f t="shared" si="2"/>
        <v>1.3333333333333333</v>
      </c>
      <c r="N41" s="9">
        <f t="shared" si="3"/>
        <v>154.66666666666666</v>
      </c>
      <c r="O41" s="85">
        <v>0.09</v>
      </c>
      <c r="P41" s="9">
        <f t="shared" si="4"/>
        <v>13.919999999999998</v>
      </c>
      <c r="Q41" s="86">
        <v>44186</v>
      </c>
      <c r="R41" s="79">
        <f t="shared" si="5"/>
        <v>615069.11999999988</v>
      </c>
      <c r="S41" s="115">
        <f>SUM(R41:R48)</f>
        <v>5938598.4000000004</v>
      </c>
    </row>
    <row r="42" spans="1:19" ht="19.5" x14ac:dyDescent="0.25">
      <c r="A42" s="145"/>
      <c r="B42" s="6" t="s">
        <v>126</v>
      </c>
      <c r="C42" s="6" t="s">
        <v>127</v>
      </c>
      <c r="D42" s="7" t="s">
        <v>92</v>
      </c>
      <c r="E42" s="97" t="s">
        <v>134</v>
      </c>
      <c r="F42" s="98"/>
      <c r="G42" s="99"/>
      <c r="H42" s="82">
        <v>0.09</v>
      </c>
      <c r="I42" s="8">
        <v>15</v>
      </c>
      <c r="J42" s="8">
        <v>12</v>
      </c>
      <c r="K42" s="8">
        <v>9</v>
      </c>
      <c r="L42" s="8">
        <f t="shared" si="1"/>
        <v>12</v>
      </c>
      <c r="M42" s="9">
        <f t="shared" si="2"/>
        <v>1</v>
      </c>
      <c r="N42" s="9">
        <f t="shared" si="3"/>
        <v>104</v>
      </c>
      <c r="O42" s="85">
        <v>0.09</v>
      </c>
      <c r="P42" s="9">
        <f t="shared" si="4"/>
        <v>9.36</v>
      </c>
      <c r="Q42" s="86">
        <v>44186</v>
      </c>
      <c r="R42" s="79">
        <f t="shared" si="5"/>
        <v>413580.95999999996</v>
      </c>
      <c r="S42" s="116"/>
    </row>
    <row r="43" spans="1:19" ht="19.5" x14ac:dyDescent="0.25">
      <c r="A43" s="145"/>
      <c r="B43" s="6" t="s">
        <v>96</v>
      </c>
      <c r="C43" s="6" t="s">
        <v>129</v>
      </c>
      <c r="D43" s="7" t="s">
        <v>92</v>
      </c>
      <c r="E43" s="97" t="s">
        <v>135</v>
      </c>
      <c r="F43" s="98"/>
      <c r="G43" s="99"/>
      <c r="H43" s="82">
        <v>0.09</v>
      </c>
      <c r="I43" s="8">
        <v>15</v>
      </c>
      <c r="J43" s="8">
        <v>12</v>
      </c>
      <c r="K43" s="8">
        <v>9</v>
      </c>
      <c r="L43" s="8">
        <f t="shared" si="1"/>
        <v>12</v>
      </c>
      <c r="M43" s="9">
        <f t="shared" si="2"/>
        <v>1</v>
      </c>
      <c r="N43" s="9">
        <f t="shared" si="3"/>
        <v>104</v>
      </c>
      <c r="O43" s="85">
        <v>0.09</v>
      </c>
      <c r="P43" s="9">
        <f t="shared" si="4"/>
        <v>9.36</v>
      </c>
      <c r="Q43" s="86">
        <v>44186</v>
      </c>
      <c r="R43" s="79">
        <f t="shared" si="5"/>
        <v>413580.95999999996</v>
      </c>
      <c r="S43" s="116"/>
    </row>
    <row r="44" spans="1:19" ht="19.5" x14ac:dyDescent="0.25">
      <c r="A44" s="145"/>
      <c r="B44" s="6" t="s">
        <v>97</v>
      </c>
      <c r="C44" s="6" t="s">
        <v>128</v>
      </c>
      <c r="D44" s="7" t="s">
        <v>92</v>
      </c>
      <c r="E44" s="97" t="s">
        <v>133</v>
      </c>
      <c r="F44" s="98"/>
      <c r="G44" s="99"/>
      <c r="H44" s="82">
        <v>0.09</v>
      </c>
      <c r="I44" s="8">
        <v>36</v>
      </c>
      <c r="J44" s="8">
        <v>30</v>
      </c>
      <c r="K44" s="8">
        <v>24</v>
      </c>
      <c r="L44" s="8">
        <f t="shared" si="1"/>
        <v>30</v>
      </c>
      <c r="M44" s="9">
        <f t="shared" si="2"/>
        <v>2</v>
      </c>
      <c r="N44" s="9">
        <f t="shared" si="3"/>
        <v>256</v>
      </c>
      <c r="O44" s="85">
        <v>0.09</v>
      </c>
      <c r="P44" s="9">
        <f t="shared" si="4"/>
        <v>23.04</v>
      </c>
      <c r="Q44" s="86">
        <v>44186</v>
      </c>
      <c r="R44" s="79">
        <f t="shared" si="5"/>
        <v>1018045.4399999999</v>
      </c>
      <c r="S44" s="116"/>
    </row>
    <row r="45" spans="1:19" ht="19.5" x14ac:dyDescent="0.25">
      <c r="A45" s="145"/>
      <c r="B45" s="6" t="s">
        <v>98</v>
      </c>
      <c r="C45" s="6" t="s">
        <v>130</v>
      </c>
      <c r="D45" s="7" t="s">
        <v>92</v>
      </c>
      <c r="E45" s="97" t="s">
        <v>134</v>
      </c>
      <c r="F45" s="98"/>
      <c r="G45" s="99"/>
      <c r="H45" s="82">
        <v>0.09</v>
      </c>
      <c r="I45" s="8">
        <v>36</v>
      </c>
      <c r="J45" s="8">
        <v>30</v>
      </c>
      <c r="K45" s="8">
        <v>24</v>
      </c>
      <c r="L45" s="8">
        <f t="shared" si="1"/>
        <v>30</v>
      </c>
      <c r="M45" s="9">
        <f t="shared" si="2"/>
        <v>2</v>
      </c>
      <c r="N45" s="9">
        <f t="shared" si="3"/>
        <v>256</v>
      </c>
      <c r="O45" s="85">
        <v>0.09</v>
      </c>
      <c r="P45" s="9">
        <f t="shared" si="4"/>
        <v>23.04</v>
      </c>
      <c r="Q45" s="86">
        <v>44186</v>
      </c>
      <c r="R45" s="79">
        <f t="shared" si="5"/>
        <v>1018045.4399999999</v>
      </c>
      <c r="S45" s="116"/>
    </row>
    <row r="46" spans="1:19" ht="19.5" x14ac:dyDescent="0.25">
      <c r="A46" s="145"/>
      <c r="B46" s="6" t="s">
        <v>99</v>
      </c>
      <c r="C46" s="6" t="s">
        <v>130</v>
      </c>
      <c r="D46" s="7" t="s">
        <v>92</v>
      </c>
      <c r="E46" s="97" t="s">
        <v>135</v>
      </c>
      <c r="F46" s="98"/>
      <c r="G46" s="99"/>
      <c r="H46" s="82">
        <v>0.09</v>
      </c>
      <c r="I46" s="8">
        <v>15</v>
      </c>
      <c r="J46" s="8">
        <v>12</v>
      </c>
      <c r="K46" s="8">
        <v>9</v>
      </c>
      <c r="L46" s="8">
        <f t="shared" si="1"/>
        <v>12</v>
      </c>
      <c r="M46" s="9">
        <f t="shared" si="2"/>
        <v>1</v>
      </c>
      <c r="N46" s="9">
        <f t="shared" si="3"/>
        <v>104</v>
      </c>
      <c r="O46" s="85">
        <v>0.09</v>
      </c>
      <c r="P46" s="9">
        <f t="shared" si="4"/>
        <v>9.36</v>
      </c>
      <c r="Q46" s="86">
        <v>44186</v>
      </c>
      <c r="R46" s="79">
        <f t="shared" si="5"/>
        <v>413580.95999999996</v>
      </c>
      <c r="S46" s="116"/>
    </row>
    <row r="47" spans="1:19" ht="19.5" x14ac:dyDescent="0.25">
      <c r="A47" s="145"/>
      <c r="B47" s="6" t="s">
        <v>100</v>
      </c>
      <c r="C47" s="6" t="s">
        <v>131</v>
      </c>
      <c r="D47" s="7" t="s">
        <v>143</v>
      </c>
      <c r="E47" s="97" t="s">
        <v>133</v>
      </c>
      <c r="F47" s="98"/>
      <c r="G47" s="99"/>
      <c r="H47" s="82">
        <v>0.09</v>
      </c>
      <c r="I47" s="8">
        <v>15</v>
      </c>
      <c r="J47" s="8">
        <v>12</v>
      </c>
      <c r="K47" s="8">
        <v>9</v>
      </c>
      <c r="L47" s="8">
        <f t="shared" si="1"/>
        <v>12</v>
      </c>
      <c r="M47" s="9">
        <f t="shared" si="2"/>
        <v>1</v>
      </c>
      <c r="N47" s="9">
        <f t="shared" si="3"/>
        <v>104</v>
      </c>
      <c r="O47" s="85">
        <v>0.09</v>
      </c>
      <c r="P47" s="9">
        <f t="shared" si="4"/>
        <v>9.36</v>
      </c>
      <c r="Q47" s="86">
        <v>44186</v>
      </c>
      <c r="R47" s="79">
        <f t="shared" si="5"/>
        <v>413580.95999999996</v>
      </c>
      <c r="S47" s="116"/>
    </row>
    <row r="48" spans="1:19" ht="20.25" customHeight="1" x14ac:dyDescent="0.25">
      <c r="A48" s="147"/>
      <c r="B48" s="6" t="s">
        <v>101</v>
      </c>
      <c r="C48" s="6" t="s">
        <v>132</v>
      </c>
      <c r="D48" s="7" t="s">
        <v>92</v>
      </c>
      <c r="E48" s="97" t="s">
        <v>134</v>
      </c>
      <c r="F48" s="98"/>
      <c r="G48" s="99"/>
      <c r="H48" s="82">
        <v>0.09</v>
      </c>
      <c r="I48" s="8">
        <v>58</v>
      </c>
      <c r="J48" s="8">
        <v>48</v>
      </c>
      <c r="K48" s="8">
        <v>38</v>
      </c>
      <c r="L48" s="8">
        <f t="shared" si="1"/>
        <v>48</v>
      </c>
      <c r="M48" s="9">
        <f t="shared" si="2"/>
        <v>3.3333333333333335</v>
      </c>
      <c r="N48" s="9">
        <f t="shared" si="3"/>
        <v>410.66666666666669</v>
      </c>
      <c r="O48" s="85">
        <v>0.09</v>
      </c>
      <c r="P48" s="9">
        <f t="shared" si="4"/>
        <v>36.96</v>
      </c>
      <c r="Q48" s="86">
        <v>44186</v>
      </c>
      <c r="R48" s="79">
        <f t="shared" si="5"/>
        <v>1633114.56</v>
      </c>
      <c r="S48" s="116"/>
    </row>
    <row r="49" spans="1:19" ht="19.5" x14ac:dyDescent="0.25">
      <c r="A49" s="144" t="s">
        <v>136</v>
      </c>
      <c r="B49" s="6" t="s">
        <v>102</v>
      </c>
      <c r="C49" s="6" t="s">
        <v>137</v>
      </c>
      <c r="D49" s="7" t="s">
        <v>92</v>
      </c>
      <c r="E49" s="97" t="s">
        <v>133</v>
      </c>
      <c r="F49" s="98"/>
      <c r="G49" s="99"/>
      <c r="H49" s="82">
        <v>0.09</v>
      </c>
      <c r="I49" s="8">
        <v>90</v>
      </c>
      <c r="J49" s="8">
        <v>78</v>
      </c>
      <c r="K49" s="8">
        <v>66</v>
      </c>
      <c r="L49" s="8">
        <f t="shared" ref="L49:L54" si="6">(I49+4*J49+K49)/6</f>
        <v>78</v>
      </c>
      <c r="M49" s="9">
        <f t="shared" ref="M49:M54" si="7">(I49-K49)/6</f>
        <v>4</v>
      </c>
      <c r="N49" s="9">
        <f t="shared" ref="N49:N54" si="8">(L49+M49)*8</f>
        <v>656</v>
      </c>
      <c r="O49" s="85">
        <v>0.09</v>
      </c>
      <c r="P49" s="9">
        <f t="shared" ref="P49:P54" si="9">N49*O49</f>
        <v>59.04</v>
      </c>
      <c r="Q49" s="86">
        <v>44186</v>
      </c>
      <c r="R49" s="79">
        <f t="shared" ref="R49:R54" si="10">Q49*P49</f>
        <v>2608741.44</v>
      </c>
      <c r="S49" s="115">
        <f>SUM(R49:R54)</f>
        <v>7295992.3199999994</v>
      </c>
    </row>
    <row r="50" spans="1:19" ht="19.5" x14ac:dyDescent="0.25">
      <c r="A50" s="145"/>
      <c r="B50" s="6" t="s">
        <v>103</v>
      </c>
      <c r="C50" s="6" t="s">
        <v>138</v>
      </c>
      <c r="D50" s="7" t="s">
        <v>92</v>
      </c>
      <c r="E50" s="97" t="s">
        <v>134</v>
      </c>
      <c r="F50" s="98"/>
      <c r="G50" s="99"/>
      <c r="H50" s="82">
        <v>0.09</v>
      </c>
      <c r="I50" s="8">
        <v>36</v>
      </c>
      <c r="J50" s="8">
        <v>30</v>
      </c>
      <c r="K50" s="8">
        <v>24</v>
      </c>
      <c r="L50" s="8">
        <f t="shared" si="6"/>
        <v>30</v>
      </c>
      <c r="M50" s="9">
        <f t="shared" si="7"/>
        <v>2</v>
      </c>
      <c r="N50" s="9">
        <f t="shared" si="8"/>
        <v>256</v>
      </c>
      <c r="O50" s="85">
        <v>0.09</v>
      </c>
      <c r="P50" s="9">
        <f t="shared" si="9"/>
        <v>23.04</v>
      </c>
      <c r="Q50" s="86">
        <v>44186</v>
      </c>
      <c r="R50" s="79">
        <f t="shared" si="10"/>
        <v>1018045.4399999999</v>
      </c>
      <c r="S50" s="116"/>
    </row>
    <row r="51" spans="1:19" ht="19.5" x14ac:dyDescent="0.25">
      <c r="A51" s="145"/>
      <c r="B51" s="6" t="s">
        <v>104</v>
      </c>
      <c r="C51" s="6" t="s">
        <v>139</v>
      </c>
      <c r="D51" s="7" t="s">
        <v>92</v>
      </c>
      <c r="E51" s="97" t="s">
        <v>135</v>
      </c>
      <c r="F51" s="98"/>
      <c r="G51" s="99"/>
      <c r="H51" s="82">
        <v>0.09</v>
      </c>
      <c r="I51" s="8">
        <v>36</v>
      </c>
      <c r="J51" s="8">
        <v>30</v>
      </c>
      <c r="K51" s="8">
        <v>24</v>
      </c>
      <c r="L51" s="8">
        <f t="shared" si="6"/>
        <v>30</v>
      </c>
      <c r="M51" s="9">
        <f t="shared" si="7"/>
        <v>2</v>
      </c>
      <c r="N51" s="9">
        <f t="shared" si="8"/>
        <v>256</v>
      </c>
      <c r="O51" s="85">
        <v>0.09</v>
      </c>
      <c r="P51" s="9">
        <f t="shared" si="9"/>
        <v>23.04</v>
      </c>
      <c r="Q51" s="86">
        <v>44186</v>
      </c>
      <c r="R51" s="79">
        <f t="shared" si="10"/>
        <v>1018045.4399999999</v>
      </c>
      <c r="S51" s="116"/>
    </row>
    <row r="52" spans="1:19" ht="19.5" x14ac:dyDescent="0.25">
      <c r="A52" s="145"/>
      <c r="B52" s="6" t="s">
        <v>105</v>
      </c>
      <c r="C52" s="6" t="s">
        <v>140</v>
      </c>
      <c r="D52" s="7" t="s">
        <v>92</v>
      </c>
      <c r="E52" s="97" t="s">
        <v>133</v>
      </c>
      <c r="F52" s="98"/>
      <c r="G52" s="99"/>
      <c r="H52" s="82">
        <v>0.09</v>
      </c>
      <c r="I52" s="8">
        <v>36</v>
      </c>
      <c r="J52" s="8">
        <v>30</v>
      </c>
      <c r="K52" s="8">
        <v>24</v>
      </c>
      <c r="L52" s="8">
        <f t="shared" si="6"/>
        <v>30</v>
      </c>
      <c r="M52" s="9">
        <f t="shared" si="7"/>
        <v>2</v>
      </c>
      <c r="N52" s="9">
        <f t="shared" si="8"/>
        <v>256</v>
      </c>
      <c r="O52" s="85">
        <v>0.09</v>
      </c>
      <c r="P52" s="9">
        <f t="shared" si="9"/>
        <v>23.04</v>
      </c>
      <c r="Q52" s="86">
        <v>44186</v>
      </c>
      <c r="R52" s="79">
        <f t="shared" si="10"/>
        <v>1018045.4399999999</v>
      </c>
      <c r="S52" s="116"/>
    </row>
    <row r="53" spans="1:19" ht="19.5" x14ac:dyDescent="0.25">
      <c r="A53" s="145"/>
      <c r="B53" s="6" t="s">
        <v>106</v>
      </c>
      <c r="C53" s="6" t="s">
        <v>141</v>
      </c>
      <c r="D53" s="7" t="s">
        <v>92</v>
      </c>
      <c r="E53" s="97" t="s">
        <v>134</v>
      </c>
      <c r="F53" s="98"/>
      <c r="G53" s="99"/>
      <c r="H53" s="82">
        <v>0.09</v>
      </c>
      <c r="I53" s="8">
        <v>36</v>
      </c>
      <c r="J53" s="8">
        <v>30</v>
      </c>
      <c r="K53" s="8">
        <v>24</v>
      </c>
      <c r="L53" s="8">
        <f t="shared" si="6"/>
        <v>30</v>
      </c>
      <c r="M53" s="9">
        <f t="shared" si="7"/>
        <v>2</v>
      </c>
      <c r="N53" s="9">
        <f t="shared" si="8"/>
        <v>256</v>
      </c>
      <c r="O53" s="85">
        <v>0.09</v>
      </c>
      <c r="P53" s="9">
        <f t="shared" si="9"/>
        <v>23.04</v>
      </c>
      <c r="Q53" s="86">
        <v>44186</v>
      </c>
      <c r="R53" s="79">
        <f t="shared" si="10"/>
        <v>1018045.4399999999</v>
      </c>
      <c r="S53" s="116"/>
    </row>
    <row r="54" spans="1:19" ht="19.5" x14ac:dyDescent="0.25">
      <c r="A54" s="146"/>
      <c r="B54" s="6" t="s">
        <v>107</v>
      </c>
      <c r="C54" s="6" t="s">
        <v>142</v>
      </c>
      <c r="D54" s="7" t="s">
        <v>92</v>
      </c>
      <c r="E54" s="97" t="s">
        <v>135</v>
      </c>
      <c r="F54" s="98"/>
      <c r="G54" s="99"/>
      <c r="H54" s="82">
        <v>0.09</v>
      </c>
      <c r="I54" s="8">
        <v>22</v>
      </c>
      <c r="J54" s="8">
        <v>18</v>
      </c>
      <c r="K54" s="8">
        <v>14</v>
      </c>
      <c r="L54" s="8">
        <f t="shared" si="6"/>
        <v>18</v>
      </c>
      <c r="M54" s="9">
        <f t="shared" si="7"/>
        <v>1.3333333333333333</v>
      </c>
      <c r="N54" s="9">
        <f t="shared" si="8"/>
        <v>154.66666666666666</v>
      </c>
      <c r="O54" s="85">
        <v>0.09</v>
      </c>
      <c r="P54" s="9">
        <f t="shared" si="9"/>
        <v>13.919999999999998</v>
      </c>
      <c r="Q54" s="86">
        <v>44186</v>
      </c>
      <c r="R54" s="79">
        <f t="shared" si="10"/>
        <v>615069.11999999988</v>
      </c>
      <c r="S54" s="117"/>
    </row>
    <row r="55" spans="1:19" ht="15.75" customHeight="1" x14ac:dyDescent="0.25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S55" s="92">
        <f>SUM(S35:S54)</f>
        <v>14855670.719999999</v>
      </c>
    </row>
    <row r="56" spans="1:19" ht="15.75" customHeight="1" x14ac:dyDescent="0.25"/>
    <row r="57" spans="1:19" ht="15.75" customHeight="1" x14ac:dyDescent="0.25"/>
    <row r="58" spans="1:19" ht="15.75" customHeight="1" x14ac:dyDescent="0.25"/>
    <row r="59" spans="1:19" ht="15.75" customHeight="1" x14ac:dyDescent="0.25"/>
    <row r="60" spans="1:19" ht="15.75" customHeight="1" x14ac:dyDescent="0.25"/>
    <row r="61" spans="1:19" ht="15.75" customHeight="1" x14ac:dyDescent="0.25"/>
    <row r="62" spans="1:19" ht="15.75" customHeight="1" x14ac:dyDescent="0.25"/>
    <row r="63" spans="1:19" ht="15.75" customHeight="1" x14ac:dyDescent="0.25"/>
    <row r="64" spans="1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</sheetData>
  <mergeCells count="16">
    <mergeCell ref="S41:S48"/>
    <mergeCell ref="A33:P33"/>
    <mergeCell ref="Q33:S33"/>
    <mergeCell ref="A49:A54"/>
    <mergeCell ref="A41:A48"/>
    <mergeCell ref="A35:A40"/>
    <mergeCell ref="B1:C1"/>
    <mergeCell ref="E34:G34"/>
    <mergeCell ref="A23:A28"/>
    <mergeCell ref="G23:G28"/>
    <mergeCell ref="A13:D13"/>
    <mergeCell ref="E13:G13"/>
    <mergeCell ref="A15:A22"/>
    <mergeCell ref="G15:G22"/>
    <mergeCell ref="S49:S54"/>
    <mergeCell ref="S35:S40"/>
  </mergeCells>
  <phoneticPr fontId="23" type="noConversion"/>
  <pageMargins left="0.70866141732283472" right="0.70866141732283472" top="0.74803149606299213" bottom="0.74803149606299213" header="0" footer="0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746F-F98E-4114-B640-00A56905DD45}">
  <dimension ref="A1:B7"/>
  <sheetViews>
    <sheetView workbookViewId="0">
      <selection sqref="A1:B7"/>
    </sheetView>
  </sheetViews>
  <sheetFormatPr baseColWidth="10" defaultRowHeight="15" x14ac:dyDescent="0.25"/>
  <cols>
    <col min="1" max="1" width="27.85546875" customWidth="1"/>
    <col min="2" max="2" width="18" customWidth="1"/>
  </cols>
  <sheetData>
    <row r="1" spans="1:2" ht="31.5" customHeight="1" x14ac:dyDescent="0.25">
      <c r="A1" s="110" t="s">
        <v>156</v>
      </c>
      <c r="B1" s="111"/>
    </row>
    <row r="2" spans="1:2" ht="21.75" customHeight="1" x14ac:dyDescent="0.25">
      <c r="A2" s="105" t="s">
        <v>67</v>
      </c>
      <c r="B2" s="106" t="s">
        <v>155</v>
      </c>
    </row>
    <row r="3" spans="1:2" x14ac:dyDescent="0.25">
      <c r="A3" s="107" t="s">
        <v>157</v>
      </c>
      <c r="B3" s="108" t="s">
        <v>162</v>
      </c>
    </row>
    <row r="4" spans="1:2" x14ac:dyDescent="0.25">
      <c r="A4" s="107" t="s">
        <v>158</v>
      </c>
      <c r="B4" s="108" t="s">
        <v>163</v>
      </c>
    </row>
    <row r="5" spans="1:2" x14ac:dyDescent="0.25">
      <c r="A5" s="107" t="s">
        <v>159</v>
      </c>
      <c r="B5" s="108">
        <v>6</v>
      </c>
    </row>
    <row r="6" spans="1:2" x14ac:dyDescent="0.25">
      <c r="A6" s="107" t="s">
        <v>160</v>
      </c>
      <c r="B6" s="108" t="s">
        <v>164</v>
      </c>
    </row>
    <row r="7" spans="1:2" x14ac:dyDescent="0.25">
      <c r="A7" s="107" t="s">
        <v>161</v>
      </c>
      <c r="B7" s="109">
        <v>310092451</v>
      </c>
    </row>
  </sheetData>
  <mergeCells count="1">
    <mergeCell ref="A1:B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983"/>
  <sheetViews>
    <sheetView topLeftCell="A37" zoomScale="89" zoomScaleNormal="89" workbookViewId="0">
      <selection activeCell="D55" sqref="D55"/>
    </sheetView>
  </sheetViews>
  <sheetFormatPr baseColWidth="10" defaultColWidth="14.42578125" defaultRowHeight="15" customHeight="1" x14ac:dyDescent="0.25"/>
  <cols>
    <col min="1" max="1" width="53.42578125" customWidth="1"/>
    <col min="2" max="2" width="24.7109375" customWidth="1"/>
    <col min="3" max="3" width="12.140625" bestFit="1" customWidth="1"/>
    <col min="4" max="4" width="13.85546875" customWidth="1"/>
    <col min="5" max="5" width="17.42578125" customWidth="1"/>
    <col min="6" max="6" width="13.7109375" customWidth="1"/>
    <col min="7" max="7" width="10.7109375" customWidth="1"/>
    <col min="8" max="8" width="16.28515625" customWidth="1"/>
    <col min="9" max="26" width="10.7109375" customWidth="1"/>
  </cols>
  <sheetData>
    <row r="2" spans="1:8" x14ac:dyDescent="0.25">
      <c r="A2" s="13" t="s">
        <v>23</v>
      </c>
      <c r="B2" s="14">
        <v>0.02</v>
      </c>
      <c r="C2" s="15"/>
      <c r="D2" s="15"/>
      <c r="E2" s="16"/>
      <c r="F2" s="16"/>
      <c r="G2" s="16"/>
      <c r="H2" s="16"/>
    </row>
    <row r="3" spans="1:8" x14ac:dyDescent="0.25">
      <c r="A3" s="13" t="s">
        <v>24</v>
      </c>
      <c r="B3" s="17">
        <v>5.8</v>
      </c>
      <c r="C3" s="16"/>
      <c r="D3" s="16"/>
      <c r="E3" s="16"/>
      <c r="F3" s="16"/>
      <c r="G3" s="16"/>
      <c r="H3" s="16"/>
    </row>
    <row r="4" spans="1:8" x14ac:dyDescent="0.25">
      <c r="A4" s="13" t="s">
        <v>25</v>
      </c>
      <c r="B4" s="14">
        <v>0.05</v>
      </c>
      <c r="C4" s="16"/>
      <c r="D4" s="16"/>
      <c r="E4" s="16"/>
      <c r="F4" s="16"/>
      <c r="G4" s="16"/>
      <c r="H4" s="16"/>
    </row>
    <row r="5" spans="1:8" x14ac:dyDescent="0.25">
      <c r="A5" s="13" t="s">
        <v>26</v>
      </c>
      <c r="B5" s="17">
        <v>160</v>
      </c>
      <c r="C5" s="16"/>
      <c r="D5" s="16"/>
      <c r="E5" s="16"/>
      <c r="F5" s="16"/>
      <c r="G5" s="16"/>
      <c r="H5" s="16"/>
    </row>
    <row r="6" spans="1:8" x14ac:dyDescent="0.25">
      <c r="A6" s="16"/>
      <c r="B6" s="16"/>
      <c r="C6" s="16"/>
      <c r="D6" s="16"/>
      <c r="E6" s="16"/>
      <c r="F6" s="16"/>
      <c r="G6" s="16"/>
      <c r="H6" s="16"/>
    </row>
    <row r="7" spans="1:8" x14ac:dyDescent="0.25">
      <c r="A7" s="132" t="s">
        <v>27</v>
      </c>
      <c r="B7" s="133"/>
      <c r="C7" s="133"/>
      <c r="D7" s="133"/>
      <c r="E7" s="133"/>
      <c r="F7" s="133"/>
      <c r="G7" s="133"/>
      <c r="H7" s="134"/>
    </row>
    <row r="8" spans="1:8" x14ac:dyDescent="0.25">
      <c r="A8" s="135" t="s">
        <v>28</v>
      </c>
      <c r="B8" s="136"/>
      <c r="C8" s="136"/>
      <c r="D8" s="136"/>
      <c r="E8" s="136"/>
      <c r="F8" s="136"/>
      <c r="G8" s="136"/>
      <c r="H8" s="137"/>
    </row>
    <row r="9" spans="1:8" ht="25.5" x14ac:dyDescent="0.25">
      <c r="A9" s="18" t="s">
        <v>29</v>
      </c>
      <c r="B9" s="19" t="s">
        <v>30</v>
      </c>
      <c r="C9" s="19" t="s">
        <v>31</v>
      </c>
      <c r="D9" s="19" t="s">
        <v>32</v>
      </c>
      <c r="E9" s="19" t="s">
        <v>33</v>
      </c>
      <c r="F9" s="19" t="s">
        <v>34</v>
      </c>
      <c r="G9" s="20" t="s">
        <v>35</v>
      </c>
      <c r="H9" s="21" t="s">
        <v>36</v>
      </c>
    </row>
    <row r="10" spans="1:8" x14ac:dyDescent="0.25">
      <c r="A10" s="22" t="s">
        <v>37</v>
      </c>
      <c r="B10" s="23">
        <v>3</v>
      </c>
      <c r="C10" s="24">
        <v>4500000</v>
      </c>
      <c r="D10" s="25">
        <v>60000</v>
      </c>
      <c r="E10" s="26">
        <f t="shared" ref="E10:E15" si="0">(C10+D10)*0.52</f>
        <v>2371200</v>
      </c>
      <c r="F10" s="26">
        <f t="shared" ref="F10:F15" si="1">(C10+E10+D10)*(1+$B$2)</f>
        <v>7069824</v>
      </c>
      <c r="G10" s="27">
        <f t="shared" ref="G10:G15" si="2">F10/$B$5</f>
        <v>44186.400000000001</v>
      </c>
      <c r="H10" s="28">
        <f t="shared" ref="H10:H15" si="3">F10*B10</f>
        <v>21209472</v>
      </c>
    </row>
    <row r="11" spans="1:8" x14ac:dyDescent="0.25">
      <c r="A11" s="22" t="s">
        <v>38</v>
      </c>
      <c r="B11" s="23">
        <v>0</v>
      </c>
      <c r="C11" s="24">
        <v>9000000</v>
      </c>
      <c r="D11" s="25">
        <v>70000</v>
      </c>
      <c r="E11" s="26">
        <f t="shared" si="0"/>
        <v>4716400</v>
      </c>
      <c r="F11" s="26">
        <f t="shared" si="1"/>
        <v>14062128</v>
      </c>
      <c r="G11" s="27">
        <f t="shared" si="2"/>
        <v>87888.3</v>
      </c>
      <c r="H11" s="28">
        <f t="shared" si="3"/>
        <v>0</v>
      </c>
    </row>
    <row r="12" spans="1:8" x14ac:dyDescent="0.25">
      <c r="A12" s="22" t="s">
        <v>39</v>
      </c>
      <c r="B12" s="23">
        <v>1</v>
      </c>
      <c r="C12" s="24">
        <v>7500000</v>
      </c>
      <c r="D12" s="25">
        <v>70000</v>
      </c>
      <c r="E12" s="26">
        <f t="shared" si="0"/>
        <v>3936400</v>
      </c>
      <c r="F12" s="26">
        <f t="shared" si="1"/>
        <v>11736528</v>
      </c>
      <c r="G12" s="27">
        <f t="shared" si="2"/>
        <v>73353.3</v>
      </c>
      <c r="H12" s="28">
        <f t="shared" si="3"/>
        <v>11736528</v>
      </c>
    </row>
    <row r="13" spans="1:8" x14ac:dyDescent="0.25">
      <c r="A13" s="22" t="s">
        <v>40</v>
      </c>
      <c r="B13" s="23">
        <v>0</v>
      </c>
      <c r="C13" s="24">
        <v>11000000</v>
      </c>
      <c r="D13" s="25">
        <v>60000</v>
      </c>
      <c r="E13" s="26">
        <f t="shared" si="0"/>
        <v>5751200</v>
      </c>
      <c r="F13" s="26">
        <f t="shared" si="1"/>
        <v>17147424</v>
      </c>
      <c r="G13" s="27">
        <f t="shared" si="2"/>
        <v>107171.4</v>
      </c>
      <c r="H13" s="28">
        <f t="shared" si="3"/>
        <v>0</v>
      </c>
    </row>
    <row r="14" spans="1:8" x14ac:dyDescent="0.25">
      <c r="A14" s="22" t="s">
        <v>41</v>
      </c>
      <c r="B14" s="29">
        <v>0</v>
      </c>
      <c r="C14" s="24">
        <v>5000000</v>
      </c>
      <c r="D14" s="25">
        <v>70000</v>
      </c>
      <c r="E14" s="26">
        <f t="shared" si="0"/>
        <v>2636400</v>
      </c>
      <c r="F14" s="26">
        <f t="shared" si="1"/>
        <v>7860528</v>
      </c>
      <c r="G14" s="27">
        <f t="shared" si="2"/>
        <v>49128.3</v>
      </c>
      <c r="H14" s="28">
        <f t="shared" si="3"/>
        <v>0</v>
      </c>
    </row>
    <row r="15" spans="1:8" x14ac:dyDescent="0.25">
      <c r="A15" s="22" t="s">
        <v>42</v>
      </c>
      <c r="B15" s="29">
        <v>0</v>
      </c>
      <c r="C15" s="24">
        <v>4500000</v>
      </c>
      <c r="D15" s="25">
        <v>100000</v>
      </c>
      <c r="E15" s="26">
        <f t="shared" si="0"/>
        <v>2392000</v>
      </c>
      <c r="F15" s="26">
        <f t="shared" si="1"/>
        <v>7131840</v>
      </c>
      <c r="G15" s="27">
        <f t="shared" si="2"/>
        <v>44574</v>
      </c>
      <c r="H15" s="28">
        <f t="shared" si="3"/>
        <v>0</v>
      </c>
    </row>
    <row r="16" spans="1:8" x14ac:dyDescent="0.25">
      <c r="A16" s="22" t="s">
        <v>91</v>
      </c>
      <c r="B16" s="23">
        <v>2</v>
      </c>
      <c r="C16" s="24">
        <v>4500000</v>
      </c>
      <c r="D16" s="25">
        <v>100000</v>
      </c>
      <c r="E16" s="26">
        <f>(C16+D16)*0.52</f>
        <v>2392000</v>
      </c>
      <c r="F16" s="26">
        <f>(C16+E16+D16)*(1+$B$2)</f>
        <v>7131840</v>
      </c>
      <c r="G16" s="27">
        <f>F16/$B$5</f>
        <v>44574</v>
      </c>
      <c r="H16" s="28">
        <f>F16*B16</f>
        <v>14263680</v>
      </c>
    </row>
    <row r="17" spans="1:8" x14ac:dyDescent="0.25">
      <c r="A17" s="22"/>
      <c r="B17" s="23"/>
      <c r="C17" s="24"/>
      <c r="D17" s="25"/>
      <c r="E17" s="26"/>
      <c r="F17" s="26"/>
      <c r="G17" s="27"/>
      <c r="H17" s="28"/>
    </row>
    <row r="18" spans="1:8" x14ac:dyDescent="0.25">
      <c r="A18" s="22"/>
      <c r="B18" s="23"/>
      <c r="C18" s="24"/>
      <c r="D18" s="25"/>
      <c r="E18" s="26"/>
      <c r="F18" s="26"/>
      <c r="G18" s="27"/>
      <c r="H18" s="28"/>
    </row>
    <row r="19" spans="1:8" x14ac:dyDescent="0.25">
      <c r="A19" s="30"/>
      <c r="B19" s="31"/>
      <c r="C19" s="32"/>
      <c r="D19" s="32" t="s">
        <v>43</v>
      </c>
      <c r="E19" s="26"/>
      <c r="F19" s="26"/>
      <c r="G19" s="27"/>
      <c r="H19" s="28"/>
    </row>
    <row r="20" spans="1:8" x14ac:dyDescent="0.25">
      <c r="A20" s="30"/>
      <c r="B20" s="31"/>
      <c r="C20" s="32"/>
      <c r="D20" s="32"/>
      <c r="E20" s="26"/>
      <c r="F20" s="26"/>
      <c r="G20" s="27"/>
      <c r="H20" s="28"/>
    </row>
    <row r="21" spans="1:8" ht="15.75" customHeight="1" x14ac:dyDescent="0.25">
      <c r="A21" s="30"/>
      <c r="B21" s="23"/>
      <c r="C21" s="32"/>
      <c r="D21" s="32"/>
      <c r="E21" s="26"/>
      <c r="F21" s="26"/>
      <c r="G21" s="27"/>
      <c r="H21" s="28"/>
    </row>
    <row r="22" spans="1:8" ht="15.75" customHeight="1" x14ac:dyDescent="0.25">
      <c r="A22" s="30"/>
      <c r="B22" s="33"/>
      <c r="C22" s="26"/>
      <c r="D22" s="26"/>
      <c r="E22" s="26"/>
      <c r="F22" s="26"/>
      <c r="G22" s="27"/>
      <c r="H22" s="28"/>
    </row>
    <row r="23" spans="1:8" ht="15.75" customHeight="1" x14ac:dyDescent="0.25">
      <c r="A23" s="34"/>
      <c r="B23" s="33"/>
      <c r="C23" s="26"/>
      <c r="D23" s="26"/>
      <c r="E23" s="26"/>
      <c r="F23" s="26"/>
      <c r="G23" s="27"/>
      <c r="H23" s="28"/>
    </row>
    <row r="24" spans="1:8" ht="15.75" customHeight="1" x14ac:dyDescent="0.25">
      <c r="A24" s="34"/>
      <c r="B24" s="33"/>
      <c r="C24" s="26"/>
      <c r="D24" s="26"/>
      <c r="E24" s="26"/>
      <c r="F24" s="26"/>
      <c r="G24" s="27"/>
      <c r="H24" s="28"/>
    </row>
    <row r="25" spans="1:8" ht="15.75" customHeight="1" x14ac:dyDescent="0.25">
      <c r="A25" s="34"/>
      <c r="B25" s="33"/>
      <c r="C25" s="26"/>
      <c r="D25" s="26"/>
      <c r="E25" s="26"/>
      <c r="F25" s="26"/>
      <c r="G25" s="27"/>
      <c r="H25" s="28"/>
    </row>
    <row r="26" spans="1:8" ht="15.75" customHeight="1" x14ac:dyDescent="0.25">
      <c r="A26" s="34"/>
      <c r="B26" s="33"/>
      <c r="C26" s="26"/>
      <c r="D26" s="26"/>
      <c r="E26" s="26"/>
      <c r="F26" s="26"/>
      <c r="G26" s="27"/>
      <c r="H26" s="28"/>
    </row>
    <row r="27" spans="1:8" ht="15.75" customHeight="1" x14ac:dyDescent="0.25">
      <c r="A27" s="34"/>
      <c r="B27" s="33"/>
      <c r="C27" s="26"/>
      <c r="D27" s="26"/>
      <c r="E27" s="26"/>
      <c r="F27" s="26"/>
      <c r="G27" s="27"/>
      <c r="H27" s="28"/>
    </row>
    <row r="28" spans="1:8" ht="15.75" customHeight="1" x14ac:dyDescent="0.25">
      <c r="A28" s="35" t="s">
        <v>44</v>
      </c>
      <c r="B28" s="36">
        <f>SUM(B10:B27)</f>
        <v>6</v>
      </c>
      <c r="C28" s="37"/>
      <c r="D28" s="37"/>
      <c r="E28" s="38"/>
      <c r="F28" s="39" t="s">
        <v>45</v>
      </c>
      <c r="G28" s="40"/>
      <c r="H28" s="41">
        <f>SUM(H10:H27)</f>
        <v>47209680</v>
      </c>
    </row>
    <row r="29" spans="1:8" ht="15.75" customHeight="1" x14ac:dyDescent="0.25">
      <c r="A29" s="16"/>
      <c r="B29" s="16"/>
      <c r="C29" s="16"/>
      <c r="D29" s="16"/>
      <c r="E29" s="42" t="s">
        <v>46</v>
      </c>
      <c r="F29" s="39"/>
      <c r="G29" s="17"/>
      <c r="H29" s="41">
        <f>H28*B3</f>
        <v>273816144</v>
      </c>
    </row>
    <row r="30" spans="1:8" ht="15.75" customHeight="1" x14ac:dyDescent="0.25">
      <c r="A30" s="16"/>
      <c r="B30" s="16"/>
      <c r="C30" s="16"/>
      <c r="D30" s="16"/>
      <c r="E30" s="43"/>
      <c r="F30" s="43"/>
      <c r="G30" s="43"/>
      <c r="H30" s="43"/>
    </row>
    <row r="31" spans="1:8" ht="15.75" customHeight="1" x14ac:dyDescent="0.25">
      <c r="A31" s="16"/>
      <c r="B31" s="16"/>
      <c r="C31" s="16"/>
      <c r="D31" s="16"/>
      <c r="E31" s="43"/>
      <c r="F31" s="43"/>
      <c r="G31" s="43"/>
      <c r="H31" s="43"/>
    </row>
    <row r="32" spans="1:8" ht="15.75" customHeight="1" x14ac:dyDescent="0.25">
      <c r="A32" s="16"/>
      <c r="B32" s="16"/>
      <c r="C32" s="16"/>
      <c r="D32" s="16"/>
      <c r="E32" s="16"/>
      <c r="F32" s="16"/>
      <c r="G32" s="16"/>
      <c r="H32" s="16"/>
    </row>
    <row r="33" spans="1:8" ht="15.75" customHeight="1" x14ac:dyDescent="0.25">
      <c r="A33" s="138" t="s">
        <v>47</v>
      </c>
      <c r="B33" s="139"/>
      <c r="C33" s="139"/>
      <c r="D33" s="139"/>
      <c r="E33" s="139"/>
      <c r="F33" s="16"/>
      <c r="G33" s="16"/>
      <c r="H33" s="16"/>
    </row>
    <row r="34" spans="1:8" ht="35.1" customHeight="1" x14ac:dyDescent="0.25">
      <c r="A34" s="44" t="s">
        <v>48</v>
      </c>
      <c r="B34" s="45" t="s">
        <v>49</v>
      </c>
      <c r="C34" s="46" t="s">
        <v>30</v>
      </c>
      <c r="D34" s="45" t="s">
        <v>50</v>
      </c>
      <c r="E34" s="45" t="s">
        <v>51</v>
      </c>
      <c r="F34" s="16"/>
      <c r="G34" s="16"/>
      <c r="H34" s="16"/>
    </row>
    <row r="35" spans="1:8" ht="15.75" customHeight="1" x14ac:dyDescent="0.25">
      <c r="A35" s="34" t="s">
        <v>147</v>
      </c>
      <c r="B35" s="47" t="s">
        <v>52</v>
      </c>
      <c r="C35" s="47">
        <v>6</v>
      </c>
      <c r="D35" s="47">
        <v>600000</v>
      </c>
      <c r="E35" s="48">
        <f t="shared" ref="E35:E40" si="4">C35*D35</f>
        <v>3600000</v>
      </c>
      <c r="F35" s="16"/>
      <c r="G35" s="16"/>
      <c r="H35" s="16"/>
    </row>
    <row r="36" spans="1:8" ht="15.75" customHeight="1" x14ac:dyDescent="0.25">
      <c r="A36" t="s">
        <v>148</v>
      </c>
      <c r="B36" s="47" t="s">
        <v>52</v>
      </c>
      <c r="C36" s="48">
        <v>1</v>
      </c>
      <c r="D36" s="48">
        <v>150000</v>
      </c>
      <c r="E36" s="48">
        <f t="shared" si="4"/>
        <v>150000</v>
      </c>
      <c r="F36" s="16"/>
      <c r="G36" s="16"/>
      <c r="H36" s="16"/>
    </row>
    <row r="37" spans="1:8" x14ac:dyDescent="0.25">
      <c r="A37" t="s">
        <v>149</v>
      </c>
      <c r="B37" s="47" t="s">
        <v>52</v>
      </c>
      <c r="C37" s="47">
        <v>3</v>
      </c>
      <c r="D37" s="47">
        <v>200000</v>
      </c>
      <c r="E37" s="48">
        <f t="shared" si="4"/>
        <v>600000</v>
      </c>
      <c r="F37" s="16"/>
      <c r="G37" s="16"/>
      <c r="H37" s="16"/>
    </row>
    <row r="38" spans="1:8" ht="15.75" customHeight="1" x14ac:dyDescent="0.25">
      <c r="A38" s="49" t="s">
        <v>152</v>
      </c>
      <c r="B38" s="47" t="s">
        <v>52</v>
      </c>
      <c r="C38" s="47">
        <v>2</v>
      </c>
      <c r="D38" s="47">
        <v>150000</v>
      </c>
      <c r="E38" s="48">
        <f t="shared" si="4"/>
        <v>300000</v>
      </c>
      <c r="F38" s="16"/>
      <c r="G38" s="16"/>
      <c r="H38" s="16"/>
    </row>
    <row r="39" spans="1:8" ht="15.75" customHeight="1" x14ac:dyDescent="0.25">
      <c r="A39" s="94" t="s">
        <v>153</v>
      </c>
      <c r="B39" s="47" t="s">
        <v>52</v>
      </c>
      <c r="C39" s="47">
        <v>1</v>
      </c>
      <c r="D39" s="95">
        <v>1500000</v>
      </c>
      <c r="E39" s="48">
        <f t="shared" si="4"/>
        <v>1500000</v>
      </c>
      <c r="F39" s="16"/>
      <c r="G39" s="16"/>
      <c r="H39" s="16"/>
    </row>
    <row r="40" spans="1:8" ht="15.75" customHeight="1" x14ac:dyDescent="0.25">
      <c r="A40" s="49" t="s">
        <v>150</v>
      </c>
      <c r="B40" s="47" t="s">
        <v>151</v>
      </c>
      <c r="C40" s="47">
        <v>1</v>
      </c>
      <c r="D40" s="47">
        <v>100000</v>
      </c>
      <c r="E40" s="48">
        <f t="shared" si="4"/>
        <v>100000</v>
      </c>
      <c r="F40" s="16"/>
      <c r="G40" s="16"/>
      <c r="H40" s="16"/>
    </row>
    <row r="41" spans="1:8" ht="15.75" customHeight="1" x14ac:dyDescent="0.25">
      <c r="A41" s="50"/>
      <c r="B41" s="51"/>
      <c r="C41" s="51"/>
      <c r="D41" s="52" t="s">
        <v>53</v>
      </c>
      <c r="E41" s="53">
        <f>SUM(E35:E40)</f>
        <v>6250000</v>
      </c>
      <c r="F41" s="16"/>
      <c r="G41" s="16"/>
      <c r="H41" s="16"/>
    </row>
    <row r="42" spans="1:8" ht="15.75" customHeight="1" x14ac:dyDescent="0.25">
      <c r="A42" s="16"/>
      <c r="B42" s="16"/>
      <c r="C42" s="16"/>
      <c r="D42" s="16"/>
      <c r="E42" s="16"/>
      <c r="F42" s="16"/>
      <c r="G42" s="16"/>
      <c r="H42" s="16"/>
    </row>
    <row r="43" spans="1:8" ht="7.5" customHeight="1" x14ac:dyDescent="0.25">
      <c r="A43" s="16"/>
      <c r="B43" s="16"/>
      <c r="C43" s="16"/>
      <c r="D43" s="16"/>
      <c r="E43" s="16"/>
      <c r="F43" s="16"/>
      <c r="G43" s="16"/>
      <c r="H43" s="16"/>
    </row>
    <row r="44" spans="1:8" ht="15.75" customHeight="1" x14ac:dyDescent="0.25">
      <c r="C44" s="16"/>
      <c r="D44" s="16"/>
      <c r="E44" s="16"/>
      <c r="F44" s="16"/>
      <c r="G44" s="16"/>
      <c r="H44" s="16"/>
    </row>
    <row r="45" spans="1:8" ht="15.75" customHeight="1" x14ac:dyDescent="0.25">
      <c r="A45" s="54" t="s">
        <v>54</v>
      </c>
      <c r="B45" s="54" t="s">
        <v>55</v>
      </c>
      <c r="C45" s="16"/>
      <c r="D45" s="16"/>
      <c r="E45" s="16"/>
      <c r="F45" s="16"/>
      <c r="G45" s="16"/>
      <c r="H45" s="16"/>
    </row>
    <row r="46" spans="1:8" ht="15.75" customHeight="1" x14ac:dyDescent="0.25">
      <c r="A46" s="8" t="s">
        <v>154</v>
      </c>
      <c r="B46" s="96">
        <v>7630000</v>
      </c>
      <c r="C46" s="16"/>
      <c r="D46" s="16"/>
      <c r="E46" s="16"/>
      <c r="F46" s="16"/>
      <c r="G46" s="16"/>
      <c r="H46" s="16"/>
    </row>
    <row r="47" spans="1:8" ht="15.75" customHeight="1" x14ac:dyDescent="0.25">
      <c r="A47" s="8" t="s">
        <v>154</v>
      </c>
      <c r="B47" s="96">
        <v>7630000</v>
      </c>
      <c r="C47" s="16"/>
      <c r="D47" s="16"/>
      <c r="E47" s="16"/>
      <c r="F47" s="16"/>
      <c r="G47" s="16"/>
      <c r="H47" s="16"/>
    </row>
    <row r="48" spans="1:8" ht="15.75" customHeight="1" x14ac:dyDescent="0.25">
      <c r="A48" s="55" t="s">
        <v>56</v>
      </c>
      <c r="B48" s="55">
        <f>SUM(B46:B47)</f>
        <v>15260000</v>
      </c>
      <c r="C48" s="16"/>
      <c r="D48" s="16"/>
      <c r="E48" s="16"/>
      <c r="F48" s="16"/>
      <c r="G48" s="16"/>
      <c r="H48" s="16"/>
    </row>
    <row r="49" spans="1:8" ht="15.75" customHeight="1" x14ac:dyDescent="0.25">
      <c r="C49" s="16"/>
      <c r="D49" s="16"/>
      <c r="E49" s="16"/>
      <c r="F49" s="16"/>
      <c r="G49" s="16"/>
      <c r="H49" s="16"/>
    </row>
    <row r="50" spans="1:8" ht="15.75" customHeight="1" x14ac:dyDescent="0.25">
      <c r="A50" s="56" t="s">
        <v>57</v>
      </c>
      <c r="B50" s="57">
        <f>H29</f>
        <v>273816144</v>
      </c>
      <c r="C50" s="16"/>
      <c r="D50" s="16"/>
      <c r="E50" s="16"/>
      <c r="F50" s="16"/>
      <c r="G50" s="16"/>
      <c r="H50" s="16"/>
    </row>
    <row r="51" spans="1:8" ht="15.75" customHeight="1" x14ac:dyDescent="0.25">
      <c r="A51" s="56" t="s">
        <v>47</v>
      </c>
      <c r="B51" s="58">
        <f>E41</f>
        <v>6250000</v>
      </c>
      <c r="C51" s="16"/>
      <c r="D51" s="16"/>
      <c r="E51" s="16"/>
      <c r="F51" s="16"/>
      <c r="G51" s="16"/>
      <c r="H51" s="16"/>
    </row>
    <row r="52" spans="1:8" ht="15.75" customHeight="1" x14ac:dyDescent="0.25">
      <c r="A52" s="59" t="s">
        <v>58</v>
      </c>
      <c r="B52" s="59">
        <f>B48</f>
        <v>15260000</v>
      </c>
      <c r="C52" s="16"/>
      <c r="D52" s="16"/>
      <c r="E52" s="16"/>
      <c r="F52" s="16"/>
      <c r="G52" s="16"/>
      <c r="H52" s="16"/>
    </row>
    <row r="53" spans="1:8" ht="15.75" customHeight="1" x14ac:dyDescent="0.25">
      <c r="A53" s="60" t="s">
        <v>59</v>
      </c>
      <c r="B53" s="61">
        <f>(B50+B51+B52)*B4</f>
        <v>14766307.200000001</v>
      </c>
      <c r="C53" s="16"/>
      <c r="D53" s="16"/>
      <c r="E53" s="16"/>
      <c r="F53" s="16"/>
      <c r="G53" s="16"/>
      <c r="H53" s="16"/>
    </row>
    <row r="54" spans="1:8" ht="15.75" customHeight="1" x14ac:dyDescent="0.25">
      <c r="A54" s="62" t="s">
        <v>60</v>
      </c>
      <c r="B54" s="63">
        <f>(B50+B51+B52)*0.1</f>
        <v>29532614.400000002</v>
      </c>
      <c r="C54" s="16"/>
      <c r="D54" s="16"/>
      <c r="E54" s="16"/>
      <c r="F54" s="16"/>
      <c r="G54" s="16"/>
      <c r="H54" s="16"/>
    </row>
    <row r="55" spans="1:8" ht="15.75" customHeight="1" x14ac:dyDescent="0.25">
      <c r="A55" s="64" t="s">
        <v>61</v>
      </c>
      <c r="B55" s="65">
        <f>SUM(B50:B53)</f>
        <v>310092451.19999999</v>
      </c>
      <c r="C55" s="16"/>
      <c r="D55" s="16"/>
      <c r="E55" s="16"/>
      <c r="F55" s="16"/>
      <c r="G55" s="16"/>
      <c r="H55" s="16"/>
    </row>
    <row r="56" spans="1:8" ht="15.75" customHeight="1" x14ac:dyDescent="0.25"/>
    <row r="57" spans="1:8" ht="15.75" customHeight="1" x14ac:dyDescent="0.25"/>
    <row r="58" spans="1:8" ht="15.75" customHeight="1" x14ac:dyDescent="0.25"/>
    <row r="59" spans="1:8" ht="15.75" customHeight="1" x14ac:dyDescent="0.25"/>
    <row r="60" spans="1:8" ht="15.75" customHeight="1" x14ac:dyDescent="0.25"/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mergeCells count="3">
    <mergeCell ref="A7:H7"/>
    <mergeCell ref="A8:H8"/>
    <mergeCell ref="A33:E33"/>
  </mergeCells>
  <dataValidations count="1">
    <dataValidation type="list" allowBlank="1" showErrorMessage="1" sqref="B35:B40" xr:uid="{00000000-0002-0000-0200-000000000000}">
      <formula1>"Directo,Indirecto"</formula1>
    </dataValidation>
  </dataValidations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002"/>
  <sheetViews>
    <sheetView topLeftCell="A25" workbookViewId="0">
      <selection activeCell="C35" sqref="C35"/>
    </sheetView>
  </sheetViews>
  <sheetFormatPr baseColWidth="10" defaultColWidth="14.42578125" defaultRowHeight="15" customHeight="1" x14ac:dyDescent="0.25"/>
  <cols>
    <col min="1" max="1" width="31.7109375" customWidth="1"/>
    <col min="3" max="3" width="18.85546875" customWidth="1"/>
    <col min="4" max="5" width="10.7109375" customWidth="1"/>
    <col min="6" max="6" width="22" customWidth="1"/>
    <col min="7" max="26" width="10.7109375" customWidth="1"/>
  </cols>
  <sheetData>
    <row r="2" spans="1:8" x14ac:dyDescent="0.25">
      <c r="F2" s="66" t="s">
        <v>62</v>
      </c>
    </row>
    <row r="3" spans="1:8" x14ac:dyDescent="0.25">
      <c r="A3" s="67"/>
      <c r="B3" s="67"/>
      <c r="C3" s="67"/>
      <c r="F3" s="68" t="s">
        <v>63</v>
      </c>
      <c r="G3" s="68">
        <v>1300000</v>
      </c>
    </row>
    <row r="4" spans="1:8" x14ac:dyDescent="0.25">
      <c r="F4" s="68" t="s">
        <v>64</v>
      </c>
      <c r="G4" s="68">
        <v>162000</v>
      </c>
      <c r="H4" s="68" t="s">
        <v>65</v>
      </c>
    </row>
    <row r="5" spans="1:8" x14ac:dyDescent="0.25">
      <c r="A5" s="140" t="s">
        <v>66</v>
      </c>
      <c r="B5" s="141"/>
      <c r="C5" s="141"/>
    </row>
    <row r="6" spans="1:8" x14ac:dyDescent="0.25">
      <c r="A6" s="69" t="s">
        <v>67</v>
      </c>
      <c r="B6" s="69" t="s">
        <v>68</v>
      </c>
      <c r="C6" s="69" t="s">
        <v>69</v>
      </c>
    </row>
    <row r="7" spans="1:8" x14ac:dyDescent="0.25">
      <c r="A7" s="70" t="s">
        <v>70</v>
      </c>
      <c r="B7" s="8"/>
      <c r="C7" s="9">
        <v>180</v>
      </c>
    </row>
    <row r="8" spans="1:8" x14ac:dyDescent="0.25">
      <c r="A8" s="70" t="s">
        <v>71</v>
      </c>
      <c r="B8" s="8"/>
      <c r="C8" s="9">
        <v>2600000</v>
      </c>
    </row>
    <row r="9" spans="1:8" x14ac:dyDescent="0.25">
      <c r="A9" s="70" t="s">
        <v>64</v>
      </c>
      <c r="B9" s="71" t="s">
        <v>43</v>
      </c>
      <c r="C9" s="9">
        <v>0</v>
      </c>
    </row>
    <row r="10" spans="1:8" x14ac:dyDescent="0.25">
      <c r="A10" s="70" t="s">
        <v>72</v>
      </c>
      <c r="B10" s="8"/>
      <c r="C10" s="9">
        <f>SUM(C8:C9)</f>
        <v>2600000</v>
      </c>
    </row>
    <row r="11" spans="1:8" x14ac:dyDescent="0.25">
      <c r="A11" s="70"/>
      <c r="B11" s="8"/>
      <c r="C11" s="9"/>
    </row>
    <row r="12" spans="1:8" x14ac:dyDescent="0.25">
      <c r="A12" s="70" t="s">
        <v>73</v>
      </c>
      <c r="B12" s="72">
        <v>8.3299999999999999E-2</v>
      </c>
      <c r="C12" s="9">
        <f>C$8*B12</f>
        <v>216580</v>
      </c>
    </row>
    <row r="13" spans="1:8" x14ac:dyDescent="0.25">
      <c r="A13" s="70" t="s">
        <v>74</v>
      </c>
      <c r="B13" s="72">
        <v>8.3299999999999999E-2</v>
      </c>
      <c r="C13" s="9">
        <f>C$8*B13</f>
        <v>216580</v>
      </c>
    </row>
    <row r="14" spans="1:8" x14ac:dyDescent="0.25">
      <c r="A14" s="70" t="s">
        <v>75</v>
      </c>
      <c r="B14" s="72">
        <v>1.1999999999999999E-3</v>
      </c>
      <c r="C14" s="9">
        <f>C$8*B14</f>
        <v>3119.9999999999995</v>
      </c>
    </row>
    <row r="15" spans="1:8" x14ac:dyDescent="0.25">
      <c r="A15" s="70" t="s">
        <v>76</v>
      </c>
      <c r="B15" s="71">
        <v>4.1669999999999999E-2</v>
      </c>
      <c r="C15" s="9">
        <f>C$8*B15</f>
        <v>108342</v>
      </c>
    </row>
    <row r="16" spans="1:8" x14ac:dyDescent="0.25">
      <c r="A16" s="70"/>
      <c r="B16" s="8"/>
      <c r="C16" s="9"/>
    </row>
    <row r="17" spans="1:3" x14ac:dyDescent="0.25">
      <c r="A17" s="70" t="s">
        <v>77</v>
      </c>
      <c r="B17" s="71">
        <f>SUM(B12:B15)</f>
        <v>0.20946999999999999</v>
      </c>
      <c r="C17" s="9">
        <f>SUM(C12:C16)</f>
        <v>544622</v>
      </c>
    </row>
    <row r="18" spans="1:3" x14ac:dyDescent="0.25">
      <c r="A18" s="70"/>
      <c r="B18" s="8"/>
      <c r="C18" s="9"/>
    </row>
    <row r="19" spans="1:3" x14ac:dyDescent="0.25">
      <c r="A19" s="70" t="s">
        <v>78</v>
      </c>
      <c r="B19" s="72">
        <v>8.5000000000000006E-2</v>
      </c>
      <c r="C19" s="9">
        <f>C$8*B19</f>
        <v>221000.00000000003</v>
      </c>
    </row>
    <row r="20" spans="1:3" x14ac:dyDescent="0.25">
      <c r="A20" s="70" t="s">
        <v>79</v>
      </c>
      <c r="B20" s="72">
        <v>0.12</v>
      </c>
      <c r="C20" s="9">
        <f>C$8*B20</f>
        <v>312000</v>
      </c>
    </row>
    <row r="21" spans="1:3" ht="15.75" customHeight="1" x14ac:dyDescent="0.25">
      <c r="A21" s="70" t="s">
        <v>80</v>
      </c>
      <c r="B21" s="72">
        <v>0.09</v>
      </c>
      <c r="C21" s="9">
        <f>C$8*B21</f>
        <v>234000</v>
      </c>
    </row>
    <row r="22" spans="1:3" ht="15.75" customHeight="1" x14ac:dyDescent="0.25">
      <c r="A22" s="70" t="s">
        <v>81</v>
      </c>
      <c r="B22" s="72">
        <v>5.2199999999999998E-3</v>
      </c>
      <c r="C22" s="9">
        <f>C$8*B22</f>
        <v>13572</v>
      </c>
    </row>
    <row r="23" spans="1:3" ht="15.75" customHeight="1" x14ac:dyDescent="0.25">
      <c r="A23" s="70"/>
      <c r="B23" s="8"/>
      <c r="C23" s="8"/>
    </row>
    <row r="24" spans="1:3" ht="15.75" customHeight="1" x14ac:dyDescent="0.25">
      <c r="A24" s="70" t="s">
        <v>82</v>
      </c>
      <c r="B24" s="72">
        <f>SUM(B19:B23)</f>
        <v>0.30022000000000004</v>
      </c>
      <c r="C24" s="9">
        <f>SUM(C19:C23)</f>
        <v>780572</v>
      </c>
    </row>
    <row r="25" spans="1:3" ht="15.75" customHeight="1" x14ac:dyDescent="0.25">
      <c r="A25" s="70"/>
      <c r="B25" s="8"/>
      <c r="C25" s="8"/>
    </row>
    <row r="26" spans="1:3" ht="15.75" customHeight="1" x14ac:dyDescent="0.25">
      <c r="A26" s="70" t="s">
        <v>83</v>
      </c>
      <c r="B26" s="8"/>
      <c r="C26" s="73">
        <f>C10+C17+C24</f>
        <v>3925194</v>
      </c>
    </row>
    <row r="27" spans="1:3" ht="15.75" customHeight="1" x14ac:dyDescent="0.25">
      <c r="A27" s="70" t="s">
        <v>84</v>
      </c>
      <c r="B27" s="8"/>
      <c r="C27" s="73">
        <f>C26*12</f>
        <v>47102328</v>
      </c>
    </row>
    <row r="28" spans="1:3" ht="15.75" customHeight="1" x14ac:dyDescent="0.25">
      <c r="A28" s="70" t="s">
        <v>85</v>
      </c>
      <c r="B28" s="8"/>
      <c r="C28" s="73">
        <f>C26/C7</f>
        <v>21806.633333333335</v>
      </c>
    </row>
    <row r="29" spans="1:3" ht="15.75" customHeight="1" x14ac:dyDescent="0.25">
      <c r="A29" s="67"/>
      <c r="B29" s="67"/>
      <c r="C29" s="67"/>
    </row>
    <row r="30" spans="1:3" ht="15.75" customHeight="1" x14ac:dyDescent="0.25">
      <c r="A30" s="67"/>
      <c r="B30" s="67"/>
      <c r="C30" s="67"/>
    </row>
    <row r="31" spans="1:3" ht="15.75" customHeight="1" x14ac:dyDescent="0.25">
      <c r="A31" s="74"/>
      <c r="B31" s="75"/>
      <c r="C31" s="67"/>
    </row>
    <row r="32" spans="1:3" ht="15.75" customHeight="1" x14ac:dyDescent="0.25">
      <c r="A32" s="74"/>
      <c r="B32" s="75"/>
      <c r="C32" s="67"/>
    </row>
    <row r="33" spans="1:3" ht="15.75" customHeight="1" x14ac:dyDescent="0.25">
      <c r="A33" s="76" t="s">
        <v>86</v>
      </c>
      <c r="B33" s="9">
        <v>124</v>
      </c>
      <c r="C33" s="67"/>
    </row>
    <row r="34" spans="1:3" ht="15.75" customHeight="1" x14ac:dyDescent="0.25">
      <c r="A34" s="76" t="s">
        <v>87</v>
      </c>
      <c r="B34" s="9">
        <v>40</v>
      </c>
      <c r="C34" s="67"/>
    </row>
    <row r="35" spans="1:3" ht="15.75" customHeight="1" x14ac:dyDescent="0.25">
      <c r="A35" s="77" t="s">
        <v>88</v>
      </c>
      <c r="B35" s="78">
        <f>Presupuesto!H28</f>
        <v>47209680</v>
      </c>
    </row>
    <row r="36" spans="1:3" ht="15.75" customHeight="1" x14ac:dyDescent="0.25">
      <c r="A36" s="77" t="s">
        <v>89</v>
      </c>
      <c r="B36" s="78">
        <f>B35/B34</f>
        <v>1180242</v>
      </c>
    </row>
    <row r="37" spans="1:3" ht="15.75" customHeight="1" x14ac:dyDescent="0.25">
      <c r="A37" s="77" t="s">
        <v>90</v>
      </c>
      <c r="B37" s="78">
        <f>B33*B36</f>
        <v>146350008</v>
      </c>
    </row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1">
    <mergeCell ref="A5:C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Estimar CostosxHora</vt:lpstr>
      <vt:lpstr>Hoja2</vt:lpstr>
      <vt:lpstr>Presupuesto</vt:lpstr>
      <vt:lpstr>costo por recurso o punto de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JOSE GIOVANNY NASPUCIL TORRES</cp:lastModifiedBy>
  <dcterms:created xsi:type="dcterms:W3CDTF">2008-07-30T16:49:19Z</dcterms:created>
  <dcterms:modified xsi:type="dcterms:W3CDTF">2026-05-26T20:39:23Z</dcterms:modified>
</cp:coreProperties>
</file>