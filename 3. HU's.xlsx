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orización HUs" sheetId="1" r:id="rId4"/>
    <sheet state="visible" name="Estimación HUs" sheetId="2" r:id="rId5"/>
    <sheet state="visible" name="División de partes de HUs" sheetId="3" r:id="rId6"/>
    <sheet state="visible" name="Cronograma" sheetId="4" r:id="rId7"/>
  </sheets>
  <definedNames/>
  <calcPr/>
  <extLst>
    <ext uri="GoogleSheetsCustomDataVersion2">
      <go:sheetsCustomData xmlns:go="http://customooxmlschemas.google.com/" r:id="rId8" roundtripDataChecksum="IryNL7QzuNPCXq96GfNsqJpbZA+82J6ACMjbdJxAzUc="/>
    </ext>
  </extLst>
</workbook>
</file>

<file path=xl/sharedStrings.xml><?xml version="1.0" encoding="utf-8"?>
<sst xmlns="http://schemas.openxmlformats.org/spreadsheetml/2006/main" count="360" uniqueCount="197">
  <si>
    <t>Fórmula: urgencia * impacto / esfuerzo</t>
  </si>
  <si>
    <t>HISTORIAS DE USUARIO</t>
  </si>
  <si>
    <t>URGENCIA</t>
  </si>
  <si>
    <t>IMPACTO</t>
  </si>
  <si>
    <t>ESFUERZO</t>
  </si>
  <si>
    <t>PRIORIDAD</t>
  </si>
  <si>
    <t>// Esta priorización se centra en realizar las HU de bajo esfuerzo y alta urgencia.</t>
  </si>
  <si>
    <t>h1</t>
  </si>
  <si>
    <t xml:space="preserve">Por lo que se contrastará por el metodo de priorización por una categoria. 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</si>
  <si>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</si>
  <si>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</si>
  <si>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</si>
  <si>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</si>
  <si>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</si>
  <si>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</si>
  <si>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</si>
  <si>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</si>
  <si>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</si>
  <si>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</si>
  <si>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</si>
  <si>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</si>
  <si>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</si>
  <si>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</si>
  <si>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</si>
  <si>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</si>
  <si>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</si>
  <si>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</si>
  <si>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</si>
  <si>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</si>
  <si>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</si>
  <si>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</si>
  <si>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</si>
  <si>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</si>
  <si>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r>
      <rPr>
        <rFont val="Arial"/>
        <b/>
        <color theme="1"/>
        <sz val="11.0"/>
      </rPr>
      <t>//</t>
    </r>
    <r>
      <rPr>
        <rFont val="Arial"/>
        <b val="0"/>
        <color theme="1"/>
        <sz val="11.0"/>
      </rPr>
      <t xml:space="preserve">Se evaluará respecto a la priorización hecha por categoría realizada anteriormente. </t>
    </r>
  </si>
  <si>
    <t>CATEGORÍA</t>
  </si>
  <si>
    <t>ESENCIALES</t>
  </si>
  <si>
    <t>CONDICIONAL</t>
  </si>
  <si>
    <t>OPCIONALES</t>
  </si>
  <si>
    <t>Cliente</t>
  </si>
  <si>
    <t>HU 1</t>
  </si>
  <si>
    <t>HU 06</t>
  </si>
  <si>
    <t>HU 3</t>
  </si>
  <si>
    <t>HU 2</t>
  </si>
  <si>
    <t>HU 07</t>
  </si>
  <si>
    <t>HU 08</t>
  </si>
  <si>
    <t>Opcional</t>
  </si>
  <si>
    <t>HU 4</t>
  </si>
  <si>
    <t>HU 10</t>
  </si>
  <si>
    <t>HU 20</t>
  </si>
  <si>
    <t>HU 5</t>
  </si>
  <si>
    <t>HU 17</t>
  </si>
  <si>
    <t>HU 9</t>
  </si>
  <si>
    <t>HU 18</t>
  </si>
  <si>
    <t>HU 11</t>
  </si>
  <si>
    <t>HU 21</t>
  </si>
  <si>
    <t>HU 13</t>
  </si>
  <si>
    <t>HU 24</t>
  </si>
  <si>
    <t>HU 14</t>
  </si>
  <si>
    <t>HU 25</t>
  </si>
  <si>
    <t>HU 15</t>
  </si>
  <si>
    <t>HU 16</t>
  </si>
  <si>
    <t>HU 19</t>
  </si>
  <si>
    <t>HU 22</t>
  </si>
  <si>
    <t>HU 23</t>
  </si>
  <si>
    <t>Tienda</t>
  </si>
  <si>
    <t xml:space="preserve">Conclusiones respecto a la priorización: </t>
  </si>
  <si>
    <t>// Se tomará de partida en el cronograma de trabajo las HU orientadas al Cliente.</t>
  </si>
  <si>
    <t>La parte B2B se realizara posteriormente.</t>
  </si>
  <si>
    <t>Backend</t>
  </si>
  <si>
    <t>Orden de prioridad</t>
  </si>
  <si>
    <t>// Aproximación a las HU que deben ser trabajadas</t>
  </si>
  <si>
    <t xml:space="preserve">en los Sprints. </t>
  </si>
  <si>
    <t>// Algunas HU esenciales se concidero mejor</t>
  </si>
  <si>
    <t>posicionar en orden tambien con sus complementos</t>
  </si>
  <si>
    <t>condicionales. EJ: Tomar fotos para la creación del avatar</t>
  </si>
  <si>
    <t>con advertencias de un mal angulo.</t>
  </si>
  <si>
    <t>Puntos de historia</t>
  </si>
  <si>
    <t>Horas (SP * 6)</t>
  </si>
  <si>
    <t>// Factor de 6, se incluye la codificación, la curva de aprendizaje, investigación de librerias, el debugging. ETC</t>
  </si>
  <si>
    <t>Total horas</t>
  </si>
  <si>
    <t>Holgura de horas (horas*0.25)</t>
  </si>
  <si>
    <t>Total horas estimadas:</t>
  </si>
  <si>
    <t>HU-9</t>
  </si>
  <si>
    <t>Descripción del Modulo</t>
  </si>
  <si>
    <t>Horas</t>
  </si>
  <si>
    <t>HU-9.1</t>
  </si>
  <si>
    <t>Configuración del entorno de renderizado</t>
  </si>
  <si>
    <t>HU-9.2</t>
  </si>
  <si>
    <t>Carga y visualización de modelos 3D</t>
  </si>
  <si>
    <t>HU-9.3</t>
  </si>
  <si>
    <t>Superposición de dinamica de prendas</t>
  </si>
  <si>
    <t>HU-9.4</t>
  </si>
  <si>
    <t>Ajustes de shaders, texturas y luces</t>
  </si>
  <si>
    <t>HU-16</t>
  </si>
  <si>
    <t>HU-16.1</t>
  </si>
  <si>
    <t>Base de datos y almacenamiento del catalogo</t>
  </si>
  <si>
    <t>HU-16.2</t>
  </si>
  <si>
    <t>Carga de multimedia</t>
  </si>
  <si>
    <t>HU-16.3</t>
  </si>
  <si>
    <t>Interfaz de gestion del catalogo</t>
  </si>
  <si>
    <t>HU-8</t>
  </si>
  <si>
    <t>HU-8.1</t>
  </si>
  <si>
    <t>Basas de datos de usuarios e inicio de sesión</t>
  </si>
  <si>
    <t>HU-8.2</t>
  </si>
  <si>
    <t>Logica de cifrado</t>
  </si>
  <si>
    <t>HU-8.3</t>
  </si>
  <si>
    <t>Interfaz de SingIn y Login</t>
  </si>
  <si>
    <t>HU-20</t>
  </si>
  <si>
    <t>HU-20.1</t>
  </si>
  <si>
    <t>Recopilación y procesado de la información de interacción</t>
  </si>
  <si>
    <t>HU-20.2</t>
  </si>
  <si>
    <t>Visualización de datos en interfaz</t>
  </si>
  <si>
    <t>Cronograma de trabajo</t>
  </si>
  <si>
    <r>
      <rPr>
        <rFont val="Arial"/>
        <b/>
        <color theme="1"/>
      </rPr>
      <t>Duración de Sprints:</t>
    </r>
    <r>
      <rPr>
        <rFont val="Arial"/>
        <color theme="1"/>
      </rPr>
      <t xml:space="preserve"> 2 Semanas</t>
    </r>
  </si>
  <si>
    <t>5 Horas por desarrollador</t>
  </si>
  <si>
    <t>60 Horas por Sprint</t>
  </si>
  <si>
    <t>Sprint #1</t>
  </si>
  <si>
    <t>Sprint #2</t>
  </si>
  <si>
    <t>Sprint #3</t>
  </si>
  <si>
    <t>#HU</t>
  </si>
  <si>
    <t>#Horas</t>
  </si>
  <si>
    <t>#Sprint</t>
  </si>
  <si>
    <t>Tematica</t>
  </si>
  <si>
    <t>Fecha</t>
  </si>
  <si>
    <t>HU-1</t>
  </si>
  <si>
    <t>Sprint 1</t>
  </si>
  <si>
    <t>Renderizado y Contrato de privacidad y uso de datos</t>
  </si>
  <si>
    <t>6 Abril - 20 Abril</t>
  </si>
  <si>
    <t>HU-4</t>
  </si>
  <si>
    <t>Sprint 2</t>
  </si>
  <si>
    <t>Captura de datos de datos antropometricos</t>
  </si>
  <si>
    <t>20 Abril - 4 Mayo</t>
  </si>
  <si>
    <t>HU-2</t>
  </si>
  <si>
    <t>HU-7</t>
  </si>
  <si>
    <t>HU-10</t>
  </si>
  <si>
    <t>Sprint 3</t>
  </si>
  <si>
    <t>Simulación del modelo 3D</t>
  </si>
  <si>
    <t>4 Mayo - 18 Mayo</t>
  </si>
  <si>
    <t>HU-6</t>
  </si>
  <si>
    <t>Sprint 4</t>
  </si>
  <si>
    <t>Flexibilidad de tallas e ingreso manual</t>
  </si>
  <si>
    <t>18 Mayo - 1 Junio</t>
  </si>
  <si>
    <t>Sprint 5</t>
  </si>
  <si>
    <t xml:space="preserve">Experiencia de usuario </t>
  </si>
  <si>
    <t>1 Junio - 15 Junio</t>
  </si>
  <si>
    <t xml:space="preserve">Total horas: </t>
  </si>
  <si>
    <t>Sprint 6</t>
  </si>
  <si>
    <t>Flujo de compra y catalogo B2B</t>
  </si>
  <si>
    <t>15 Junio - 29 Junio</t>
  </si>
  <si>
    <t>Sprint 7</t>
  </si>
  <si>
    <t>Panel B2B e integración de datos</t>
  </si>
  <si>
    <t>29 Junio - 13 Julio</t>
  </si>
  <si>
    <t>Sprint 8</t>
  </si>
  <si>
    <t>Integración de V-Fit y monitoreo</t>
  </si>
  <si>
    <t>13 Julio - 27 Julio</t>
  </si>
  <si>
    <t>Sprint #4</t>
  </si>
  <si>
    <t>Sprint #5</t>
  </si>
  <si>
    <t>Sprint #6</t>
  </si>
  <si>
    <t>Sprint 9</t>
  </si>
  <si>
    <t>Fisica de materiales y Backup</t>
  </si>
  <si>
    <t>27 Julio - 10 Agosto</t>
  </si>
  <si>
    <t>Sprint 10</t>
  </si>
  <si>
    <t>Validación de prendas con maniqui y administración B2B</t>
  </si>
  <si>
    <t>10 Agosto - 24 Agosto</t>
  </si>
  <si>
    <t>HU-5</t>
  </si>
  <si>
    <t>HU-12</t>
  </si>
  <si>
    <t>HU-13</t>
  </si>
  <si>
    <t>Sprint 11</t>
  </si>
  <si>
    <t>Gestion de cuenta y cifrados.</t>
  </si>
  <si>
    <t>24 Agosto - 7 Septiembre</t>
  </si>
  <si>
    <t>HU-11</t>
  </si>
  <si>
    <t>HU-14</t>
  </si>
  <si>
    <t>Sprint 12</t>
  </si>
  <si>
    <t>Gestion de cuenta y panel de estadisticas</t>
  </si>
  <si>
    <t>7 Septiembre - 21 Septiembre</t>
  </si>
  <si>
    <t>HU-3</t>
  </si>
  <si>
    <t>Sprint 13</t>
  </si>
  <si>
    <t>Panel de estadisticas</t>
  </si>
  <si>
    <t>21 Septiembre - 5 Octubre</t>
  </si>
  <si>
    <t>Sprint #7</t>
  </si>
  <si>
    <t>Sprint #8</t>
  </si>
  <si>
    <t>Sprint #9</t>
  </si>
  <si>
    <t>HU-15.3</t>
  </si>
  <si>
    <t>HU-17</t>
  </si>
  <si>
    <t>HU-15.1</t>
  </si>
  <si>
    <t>HU-19</t>
  </si>
  <si>
    <t>HU-25</t>
  </si>
  <si>
    <t>HU-15.2</t>
  </si>
  <si>
    <t>HU-21</t>
  </si>
  <si>
    <t>HU-24</t>
  </si>
  <si>
    <t>Sprint #10</t>
  </si>
  <si>
    <t>Sprint #11</t>
  </si>
  <si>
    <t>Sprint #12</t>
  </si>
  <si>
    <t>HU-18</t>
  </si>
  <si>
    <t>HU-22</t>
  </si>
  <si>
    <t>HU-23</t>
  </si>
  <si>
    <t>Sprint #13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</si>
</sst>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color theme="1"/>
      <name val="Aptos Narrow"/>
    </font>
    <font>
      <b/>
      <sz val="11.0"/>
      <color theme="1"/>
      <name val="Aptos Narrow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sz val="11.0"/>
      <color theme="1"/>
      <name val="Aptos Narrow"/>
    </font>
    <font>
      <i/>
      <color rgb="FF980000"/>
      <name val="Arial"/>
    </font>
    <font>
      <i/>
      <color rgb="FF980000"/>
      <name val="Aptos Narrow"/>
    </font>
    <font>
      <color rgb="FFFFFFFF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2" fillId="0" fontId="3" numFmtId="0" xfId="0" applyBorder="1" applyFont="1"/>
    <xf borderId="3" fillId="0" fontId="3" numFmtId="0" xfId="0" applyBorder="1" applyFont="1"/>
    <xf borderId="4" fillId="0" fontId="4" numFmtId="0" xfId="0" applyBorder="1" applyFont="1"/>
    <xf borderId="0" fillId="0" fontId="5" numFmtId="0" xfId="0" applyFont="1"/>
    <xf borderId="5" fillId="0" fontId="6" numFmtId="0" xfId="0" applyAlignment="1" applyBorder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8" fillId="2" fontId="1" numFmtId="1" xfId="0" applyBorder="1" applyFill="1" applyFont="1" applyNumberFormat="1"/>
    <xf borderId="0" fillId="3" fontId="5" numFmtId="0" xfId="0" applyFill="1" applyFont="1"/>
    <xf borderId="8" fillId="3" fontId="1" numFmtId="1" xfId="0" applyBorder="1" applyFont="1" applyNumberFormat="1"/>
    <xf borderId="0" fillId="3" fontId="1" numFmtId="0" xfId="0" applyFont="1"/>
    <xf borderId="9" fillId="0" fontId="6" numFmtId="0" xfId="0" applyAlignment="1" applyBorder="1" applyFont="1">
      <alignment horizontal="center"/>
    </xf>
    <xf borderId="10" fillId="0" fontId="5" numFmtId="0" xfId="0" applyBorder="1" applyFont="1"/>
    <xf borderId="11" fillId="0" fontId="6" numFmtId="0" xfId="0" applyAlignment="1" applyBorder="1" applyFont="1">
      <alignment horizontal="center"/>
    </xf>
    <xf borderId="12" fillId="0" fontId="5" numFmtId="0" xfId="0" applyBorder="1" applyFont="1"/>
    <xf borderId="13" fillId="0" fontId="5" numFmtId="0" xfId="0" applyBorder="1" applyFont="1"/>
    <xf borderId="0" fillId="0" fontId="6" numFmtId="0" xfId="0" applyAlignment="1" applyFont="1">
      <alignment horizontal="center"/>
    </xf>
    <xf borderId="14" fillId="0" fontId="3" numFmtId="0" xfId="0" applyBorder="1" applyFont="1"/>
    <xf borderId="0" fillId="0" fontId="3" numFmtId="0" xfId="0" applyFont="1"/>
    <xf borderId="2" fillId="0" fontId="4" numFmtId="0" xfId="0" applyBorder="1" applyFont="1"/>
    <xf borderId="3" fillId="0" fontId="4" numFmtId="0" xfId="0" applyBorder="1" applyFont="1"/>
    <xf borderId="15" fillId="0" fontId="6" numFmtId="0" xfId="0" applyAlignment="1" applyBorder="1" applyFont="1">
      <alignment horizontal="center"/>
    </xf>
    <xf borderId="5" fillId="0" fontId="5" numFmtId="0" xfId="0" applyBorder="1" applyFont="1"/>
    <xf borderId="6" fillId="0" fontId="1" numFmtId="0" xfId="0" applyBorder="1" applyFont="1"/>
    <xf borderId="16" fillId="0" fontId="5" numFmtId="0" xfId="0" applyBorder="1" applyFont="1"/>
    <xf borderId="17" fillId="0" fontId="1" numFmtId="0" xfId="0" applyBorder="1" applyFont="1"/>
    <xf borderId="18" fillId="0" fontId="5" numFmtId="0" xfId="0" applyBorder="1" applyFont="1"/>
    <xf borderId="0" fillId="3" fontId="7" numFmtId="0" xfId="0" applyFont="1"/>
    <xf borderId="0" fillId="3" fontId="8" numFmtId="0" xfId="0" applyFont="1"/>
    <xf borderId="19" fillId="0" fontId="6" numFmtId="0" xfId="0" applyAlignment="1" applyBorder="1" applyFont="1">
      <alignment horizontal="center"/>
    </xf>
    <xf borderId="20" fillId="0" fontId="6" numFmtId="0" xfId="0" applyAlignment="1" applyBorder="1" applyFont="1">
      <alignment horizontal="center"/>
    </xf>
    <xf borderId="0" fillId="0" fontId="5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14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15" fillId="0" fontId="6" numFmtId="0" xfId="0" applyAlignment="1" applyBorder="1" applyFont="1">
      <alignment horizontal="center" vertical="bottom"/>
    </xf>
    <xf borderId="8" fillId="0" fontId="10" numFmtId="0" xfId="0" applyAlignment="1" applyBorder="1" applyFont="1">
      <alignment horizontal="right" vertical="bottom"/>
    </xf>
    <xf borderId="7" fillId="0" fontId="10" numFmtId="0" xfId="0" applyAlignment="1" applyBorder="1" applyFont="1">
      <alignment horizontal="right" vertical="bottom"/>
    </xf>
    <xf borderId="15" fillId="0" fontId="10" numFmtId="0" xfId="0" applyAlignment="1" applyBorder="1" applyFont="1">
      <alignment horizontal="center" vertical="bottom"/>
    </xf>
    <xf borderId="19" fillId="0" fontId="6" numFmtId="0" xfId="0" applyAlignment="1" applyBorder="1" applyFont="1">
      <alignment horizontal="center" vertical="bottom"/>
    </xf>
    <xf borderId="20" fillId="0" fontId="6" numFmtId="0" xfId="0" applyAlignment="1" applyBorder="1" applyFont="1">
      <alignment horizontal="center" vertical="bottom"/>
    </xf>
    <xf borderId="21" fillId="0" fontId="10" numFmtId="0" xfId="0" applyAlignment="1" applyBorder="1" applyFont="1">
      <alignment horizontal="right" vertical="bottom"/>
    </xf>
    <xf borderId="18" fillId="0" fontId="10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1" fillId="0" fontId="5" numFmtId="0" xfId="0" applyAlignment="1" applyBorder="1" applyFont="1">
      <alignment vertical="bottom"/>
    </xf>
    <xf borderId="3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16" fillId="0" fontId="5" numFmtId="0" xfId="0" applyAlignment="1" applyBorder="1" applyFont="1">
      <alignment vertical="bottom"/>
    </xf>
    <xf borderId="18" fillId="0" fontId="5" numFmtId="0" xfId="0" applyAlignment="1" applyBorder="1" applyFont="1">
      <alignment horizontal="right" vertical="bottom"/>
    </xf>
    <xf borderId="8" fillId="0" fontId="10" numFmtId="0" xfId="0" applyAlignment="1" applyBorder="1" applyFont="1">
      <alignment horizontal="center" vertical="bottom"/>
    </xf>
    <xf borderId="7" fillId="0" fontId="10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17" fillId="0" fontId="5" numFmtId="0" xfId="0" applyAlignment="1" applyBorder="1" applyFont="1">
      <alignment vertical="bottom"/>
    </xf>
    <xf borderId="22" fillId="0" fontId="5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3" fillId="0" fontId="5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16" fillId="0" fontId="4" numFmtId="0" xfId="0" applyAlignment="1" applyBorder="1" applyFont="1">
      <alignment vertical="bottom"/>
    </xf>
    <xf borderId="17" fillId="0" fontId="5" numFmtId="0" xfId="0" applyAlignment="1" applyBorder="1" applyFont="1">
      <alignment horizontal="right" vertical="bottom"/>
    </xf>
    <xf borderId="18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63"/>
    <col customWidth="1" min="3" max="3" width="18.0"/>
    <col customWidth="1" min="4" max="5" width="12.63"/>
    <col customWidth="1" min="6" max="6" width="14.13"/>
    <col customWidth="1" min="7" max="7" width="13.25"/>
  </cols>
  <sheetData>
    <row r="2">
      <c r="B2" s="1" t="s">
        <v>0</v>
      </c>
      <c r="C2" s="2"/>
    </row>
    <row r="3">
      <c r="B3" s="3" t="s">
        <v>1</v>
      </c>
      <c r="C3" s="4" t="s">
        <v>2</v>
      </c>
      <c r="D3" s="4" t="s">
        <v>3</v>
      </c>
      <c r="E3" s="5" t="s">
        <v>4</v>
      </c>
      <c r="G3" s="6" t="s">
        <v>5</v>
      </c>
      <c r="H3" s="7" t="s">
        <v>6</v>
      </c>
    </row>
    <row r="4">
      <c r="B4" s="8" t="s">
        <v>7</v>
      </c>
      <c r="C4" s="9">
        <v>4.0</v>
      </c>
      <c r="D4" s="9">
        <v>10.0</v>
      </c>
      <c r="E4" s="10">
        <v>2.0</v>
      </c>
      <c r="G4" s="11">
        <f t="shared" ref="G4:G28" si="1">(C4*D4)/E4</f>
        <v>20</v>
      </c>
      <c r="H4" s="12" t="s">
        <v>8</v>
      </c>
    </row>
    <row r="5">
      <c r="B5" s="8" t="s">
        <v>9</v>
      </c>
      <c r="C5" s="9">
        <v>3.0</v>
      </c>
      <c r="D5" s="9">
        <v>9.0</v>
      </c>
      <c r="E5" s="10">
        <v>2.0</v>
      </c>
      <c r="G5" s="13">
        <f t="shared" si="1"/>
        <v>13.5</v>
      </c>
      <c r="H5" s="14"/>
    </row>
    <row r="6">
      <c r="B6" s="8" t="s">
        <v>10</v>
      </c>
      <c r="C6" s="7">
        <v>2.0</v>
      </c>
      <c r="D6" s="9">
        <v>4.0</v>
      </c>
      <c r="E6" s="10">
        <v>1.0</v>
      </c>
      <c r="G6" s="11">
        <f t="shared" si="1"/>
        <v>8</v>
      </c>
      <c r="H6" s="14"/>
    </row>
    <row r="7">
      <c r="B7" s="8" t="s">
        <v>11</v>
      </c>
      <c r="C7" s="9">
        <v>3.0</v>
      </c>
      <c r="D7" s="9">
        <v>10.0</v>
      </c>
      <c r="E7" s="10">
        <v>3.0</v>
      </c>
      <c r="G7" s="13">
        <f t="shared" si="1"/>
        <v>10</v>
      </c>
      <c r="H7" s="14"/>
    </row>
    <row r="8">
      <c r="B8" s="8" t="s">
        <v>12</v>
      </c>
      <c r="C8" s="9">
        <v>2.0</v>
      </c>
      <c r="D8" s="9">
        <v>8.0</v>
      </c>
      <c r="E8" s="10">
        <v>3.0</v>
      </c>
      <c r="G8" s="11">
        <f t="shared" si="1"/>
        <v>5.333333333</v>
      </c>
      <c r="H8" s="14"/>
    </row>
    <row r="9">
      <c r="B9" s="8" t="s">
        <v>13</v>
      </c>
      <c r="C9" s="9">
        <v>1.0</v>
      </c>
      <c r="D9" s="9">
        <v>6.0</v>
      </c>
      <c r="E9" s="10">
        <v>1.0</v>
      </c>
      <c r="G9" s="13">
        <f t="shared" si="1"/>
        <v>6</v>
      </c>
      <c r="H9" s="14"/>
    </row>
    <row r="10">
      <c r="B10" s="8" t="s">
        <v>14</v>
      </c>
      <c r="C10" s="9">
        <v>3.0</v>
      </c>
      <c r="D10" s="9">
        <v>7.0</v>
      </c>
      <c r="E10" s="10">
        <v>1.0</v>
      </c>
      <c r="G10" s="11">
        <f t="shared" si="1"/>
        <v>21</v>
      </c>
      <c r="H10" s="14"/>
    </row>
    <row r="11">
      <c r="B11" s="8" t="s">
        <v>15</v>
      </c>
      <c r="C11" s="9">
        <v>2.0</v>
      </c>
      <c r="D11" s="9">
        <v>5.0</v>
      </c>
      <c r="E11" s="10">
        <v>2.0</v>
      </c>
      <c r="G11" s="13">
        <f t="shared" si="1"/>
        <v>5</v>
      </c>
      <c r="H11" s="14"/>
    </row>
    <row r="12">
      <c r="B12" s="8" t="s">
        <v>16</v>
      </c>
      <c r="C12" s="9">
        <v>5.0</v>
      </c>
      <c r="D12" s="9">
        <v>10.0</v>
      </c>
      <c r="E12" s="10">
        <v>4.0</v>
      </c>
      <c r="G12" s="11">
        <f t="shared" si="1"/>
        <v>12.5</v>
      </c>
      <c r="H12" s="14"/>
    </row>
    <row r="13">
      <c r="B13" s="8" t="s">
        <v>17</v>
      </c>
      <c r="C13" s="9">
        <v>4.0</v>
      </c>
      <c r="D13" s="9">
        <v>8.0</v>
      </c>
      <c r="E13" s="10">
        <v>3.0</v>
      </c>
      <c r="G13" s="13">
        <f t="shared" si="1"/>
        <v>10.66666667</v>
      </c>
      <c r="H13" s="14"/>
    </row>
    <row r="14">
      <c r="B14" s="8" t="s">
        <v>18</v>
      </c>
      <c r="C14" s="9">
        <v>4.0</v>
      </c>
      <c r="D14" s="9">
        <v>10.0</v>
      </c>
      <c r="E14" s="10">
        <v>3.0</v>
      </c>
      <c r="G14" s="11">
        <f t="shared" si="1"/>
        <v>13.33333333</v>
      </c>
      <c r="H14" s="14"/>
    </row>
    <row r="15">
      <c r="B15" s="8" t="s">
        <v>19</v>
      </c>
      <c r="C15" s="9">
        <v>1.0</v>
      </c>
      <c r="D15" s="9">
        <v>7.0</v>
      </c>
      <c r="E15" s="10">
        <v>2.0</v>
      </c>
      <c r="G15" s="13">
        <f t="shared" si="1"/>
        <v>3.5</v>
      </c>
      <c r="H15" s="14"/>
    </row>
    <row r="16">
      <c r="B16" s="8" t="s">
        <v>20</v>
      </c>
      <c r="C16" s="9">
        <v>1.0</v>
      </c>
      <c r="D16" s="9">
        <v>7.0</v>
      </c>
      <c r="E16" s="10">
        <v>3.0</v>
      </c>
      <c r="G16" s="11">
        <f t="shared" si="1"/>
        <v>2.333333333</v>
      </c>
      <c r="H16" s="14"/>
    </row>
    <row r="17">
      <c r="B17" s="8" t="s">
        <v>21</v>
      </c>
      <c r="C17" s="9">
        <v>2.0</v>
      </c>
      <c r="D17" s="9">
        <v>10.0</v>
      </c>
      <c r="E17" s="10">
        <v>3.0</v>
      </c>
      <c r="G17" s="13">
        <f t="shared" si="1"/>
        <v>6.666666667</v>
      </c>
      <c r="H17" s="14"/>
    </row>
    <row r="18">
      <c r="B18" s="8" t="s">
        <v>22</v>
      </c>
      <c r="C18" s="9">
        <v>2.0</v>
      </c>
      <c r="D18" s="9">
        <v>7.0</v>
      </c>
      <c r="E18" s="10">
        <v>3.0</v>
      </c>
      <c r="G18" s="11">
        <f t="shared" si="1"/>
        <v>4.666666667</v>
      </c>
      <c r="H18" s="14"/>
    </row>
    <row r="19">
      <c r="B19" s="8" t="s">
        <v>23</v>
      </c>
      <c r="C19" s="9">
        <v>3.0</v>
      </c>
      <c r="D19" s="9">
        <v>8.0</v>
      </c>
      <c r="E19" s="10">
        <v>5.0</v>
      </c>
      <c r="G19" s="13">
        <f t="shared" si="1"/>
        <v>4.8</v>
      </c>
      <c r="H19" s="14"/>
    </row>
    <row r="20">
      <c r="B20" s="8" t="s">
        <v>24</v>
      </c>
      <c r="C20" s="9">
        <v>3.0</v>
      </c>
      <c r="D20" s="9">
        <v>6.0</v>
      </c>
      <c r="E20" s="10">
        <v>4.0</v>
      </c>
      <c r="G20" s="11">
        <f t="shared" si="1"/>
        <v>4.5</v>
      </c>
      <c r="H20" s="14"/>
    </row>
    <row r="21" ht="15.75" customHeight="1">
      <c r="B21" s="8" t="s">
        <v>25</v>
      </c>
      <c r="C21" s="9">
        <v>3.0</v>
      </c>
      <c r="D21" s="9">
        <v>5.0</v>
      </c>
      <c r="E21" s="10">
        <v>4.0</v>
      </c>
      <c r="G21" s="13">
        <f t="shared" si="1"/>
        <v>3.75</v>
      </c>
      <c r="H21" s="14"/>
    </row>
    <row r="22" ht="15.75" customHeight="1">
      <c r="B22" s="8" t="s">
        <v>26</v>
      </c>
      <c r="C22" s="9">
        <v>2.0</v>
      </c>
      <c r="D22" s="9">
        <v>9.0</v>
      </c>
      <c r="E22" s="10">
        <v>4.0</v>
      </c>
      <c r="G22" s="11">
        <f t="shared" si="1"/>
        <v>4.5</v>
      </c>
      <c r="H22" s="14"/>
    </row>
    <row r="23" ht="15.75" customHeight="1">
      <c r="B23" s="8" t="s">
        <v>27</v>
      </c>
      <c r="C23" s="9">
        <v>1.0</v>
      </c>
      <c r="D23" s="9">
        <v>4.0</v>
      </c>
      <c r="E23" s="10">
        <v>3.0</v>
      </c>
      <c r="G23" s="13">
        <f t="shared" si="1"/>
        <v>1.333333333</v>
      </c>
      <c r="H23" s="14"/>
    </row>
    <row r="24" ht="15.75" customHeight="1">
      <c r="B24" s="8" t="s">
        <v>28</v>
      </c>
      <c r="C24" s="9">
        <v>1.0</v>
      </c>
      <c r="D24" s="9">
        <v>5.0</v>
      </c>
      <c r="E24" s="10">
        <v>3.0</v>
      </c>
      <c r="G24" s="11">
        <f t="shared" si="1"/>
        <v>1.666666667</v>
      </c>
      <c r="H24" s="14"/>
    </row>
    <row r="25" ht="15.75" customHeight="1">
      <c r="B25" s="8" t="s">
        <v>29</v>
      </c>
      <c r="C25" s="9">
        <v>1.0</v>
      </c>
      <c r="D25" s="9">
        <v>6.0</v>
      </c>
      <c r="E25" s="10">
        <v>3.0</v>
      </c>
      <c r="G25" s="13">
        <f t="shared" si="1"/>
        <v>2</v>
      </c>
      <c r="H25" s="14"/>
    </row>
    <row r="26" ht="15.75" customHeight="1">
      <c r="B26" s="15" t="s">
        <v>30</v>
      </c>
      <c r="C26" s="16">
        <v>4.0</v>
      </c>
      <c r="D26" s="9">
        <v>10.0</v>
      </c>
      <c r="E26" s="10">
        <v>5.0</v>
      </c>
      <c r="G26" s="11">
        <f t="shared" si="1"/>
        <v>8</v>
      </c>
      <c r="H26" s="14"/>
    </row>
    <row r="27" ht="15.75" customHeight="1">
      <c r="B27" s="8" t="s">
        <v>31</v>
      </c>
      <c r="C27" s="9">
        <v>1.0</v>
      </c>
      <c r="D27" s="9">
        <v>4.0</v>
      </c>
      <c r="E27" s="10">
        <v>3.0</v>
      </c>
      <c r="G27" s="13">
        <f t="shared" si="1"/>
        <v>1.333333333</v>
      </c>
      <c r="H27" s="14"/>
    </row>
    <row r="28" ht="15.75" customHeight="1">
      <c r="B28" s="17" t="s">
        <v>32</v>
      </c>
      <c r="C28" s="18">
        <v>1.0</v>
      </c>
      <c r="D28" s="18">
        <v>6.0</v>
      </c>
      <c r="E28" s="19">
        <v>3.0</v>
      </c>
      <c r="G28" s="11">
        <f t="shared" si="1"/>
        <v>2</v>
      </c>
      <c r="H28" s="14"/>
    </row>
    <row r="29" ht="15.75" customHeight="1">
      <c r="C29" s="7"/>
    </row>
    <row r="30" ht="15.75" customHeight="1">
      <c r="B30" s="2" t="s">
        <v>33</v>
      </c>
    </row>
    <row r="31" ht="15.75" customHeight="1">
      <c r="B31" s="20"/>
    </row>
    <row r="32" ht="15.75" customHeight="1">
      <c r="B32" s="21" t="s">
        <v>1</v>
      </c>
      <c r="C32" s="5" t="s">
        <v>34</v>
      </c>
      <c r="D32" s="22"/>
      <c r="E32" s="3" t="s">
        <v>35</v>
      </c>
      <c r="F32" s="23" t="s">
        <v>36</v>
      </c>
      <c r="G32" s="24" t="s">
        <v>37</v>
      </c>
    </row>
    <row r="33" ht="15.75" customHeight="1">
      <c r="B33" s="25" t="s">
        <v>7</v>
      </c>
      <c r="C33" s="10" t="s">
        <v>38</v>
      </c>
      <c r="D33" s="7"/>
      <c r="E33" s="26" t="s">
        <v>39</v>
      </c>
      <c r="F33" s="9" t="s">
        <v>40</v>
      </c>
      <c r="G33" s="10" t="s">
        <v>41</v>
      </c>
    </row>
    <row r="34" ht="15.75" customHeight="1">
      <c r="B34" s="25" t="s">
        <v>9</v>
      </c>
      <c r="C34" s="10" t="s">
        <v>38</v>
      </c>
      <c r="D34" s="7"/>
      <c r="E34" s="26" t="s">
        <v>42</v>
      </c>
      <c r="F34" s="9" t="s">
        <v>43</v>
      </c>
      <c r="G34" s="10" t="s">
        <v>44</v>
      </c>
    </row>
    <row r="35" ht="15.75" customHeight="1">
      <c r="B35" s="25" t="s">
        <v>10</v>
      </c>
      <c r="C35" s="10" t="s">
        <v>45</v>
      </c>
      <c r="D35" s="7"/>
      <c r="E35" s="26" t="s">
        <v>46</v>
      </c>
      <c r="F35" s="9" t="s">
        <v>47</v>
      </c>
      <c r="G35" s="10" t="s">
        <v>48</v>
      </c>
    </row>
    <row r="36" ht="15.75" customHeight="1">
      <c r="B36" s="25" t="s">
        <v>11</v>
      </c>
      <c r="C36" s="10" t="s">
        <v>38</v>
      </c>
      <c r="D36" s="7"/>
      <c r="E36" s="26" t="s">
        <v>49</v>
      </c>
      <c r="F36" s="9" t="s">
        <v>50</v>
      </c>
      <c r="G36" s="10"/>
    </row>
    <row r="37" ht="15.75" customHeight="1">
      <c r="B37" s="25" t="s">
        <v>12</v>
      </c>
      <c r="C37" s="10" t="s">
        <v>38</v>
      </c>
      <c r="D37" s="7"/>
      <c r="E37" s="26" t="s">
        <v>51</v>
      </c>
      <c r="F37" s="9" t="s">
        <v>52</v>
      </c>
      <c r="G37" s="10"/>
    </row>
    <row r="38" ht="15.75" customHeight="1">
      <c r="B38" s="25" t="s">
        <v>13</v>
      </c>
      <c r="C38" s="10" t="s">
        <v>38</v>
      </c>
      <c r="D38" s="7"/>
      <c r="E38" s="26" t="s">
        <v>53</v>
      </c>
      <c r="F38" s="9" t="s">
        <v>54</v>
      </c>
      <c r="G38" s="10"/>
    </row>
    <row r="39" ht="15.75" customHeight="1">
      <c r="B39" s="25" t="s">
        <v>14</v>
      </c>
      <c r="C39" s="10" t="s">
        <v>38</v>
      </c>
      <c r="D39" s="7"/>
      <c r="E39" s="26" t="s">
        <v>55</v>
      </c>
      <c r="F39" s="9" t="s">
        <v>56</v>
      </c>
      <c r="G39" s="10"/>
    </row>
    <row r="40" ht="15.75" customHeight="1">
      <c r="B40" s="25" t="s">
        <v>15</v>
      </c>
      <c r="C40" s="10" t="s">
        <v>45</v>
      </c>
      <c r="D40" s="7"/>
      <c r="E40" s="26" t="s">
        <v>57</v>
      </c>
      <c r="F40" s="9" t="s">
        <v>58</v>
      </c>
      <c r="G40" s="10"/>
    </row>
    <row r="41" ht="15.75" customHeight="1">
      <c r="B41" s="25" t="s">
        <v>16</v>
      </c>
      <c r="C41" s="10" t="s">
        <v>38</v>
      </c>
      <c r="D41" s="7"/>
      <c r="E41" s="26" t="s">
        <v>59</v>
      </c>
      <c r="F41" s="27"/>
      <c r="G41" s="10"/>
    </row>
    <row r="42" ht="15.75" customHeight="1">
      <c r="B42" s="25" t="s">
        <v>17</v>
      </c>
      <c r="C42" s="10" t="s">
        <v>38</v>
      </c>
      <c r="D42" s="7"/>
      <c r="E42" s="26" t="s">
        <v>60</v>
      </c>
      <c r="F42" s="27"/>
      <c r="G42" s="10"/>
    </row>
    <row r="43" ht="15.75" customHeight="1">
      <c r="B43" s="25" t="s">
        <v>18</v>
      </c>
      <c r="C43" s="10" t="s">
        <v>38</v>
      </c>
      <c r="D43" s="7"/>
      <c r="E43" s="26" t="s">
        <v>61</v>
      </c>
      <c r="F43" s="27"/>
      <c r="G43" s="10"/>
    </row>
    <row r="44" ht="15.75" customHeight="1">
      <c r="B44" s="25" t="s">
        <v>19</v>
      </c>
      <c r="C44" s="10" t="s">
        <v>38</v>
      </c>
      <c r="D44" s="7"/>
      <c r="E44" s="26" t="s">
        <v>62</v>
      </c>
      <c r="F44" s="27"/>
      <c r="G44" s="10"/>
    </row>
    <row r="45" ht="15.75" customHeight="1">
      <c r="B45" s="25" t="s">
        <v>20</v>
      </c>
      <c r="C45" s="10" t="s">
        <v>38</v>
      </c>
      <c r="D45" s="7"/>
      <c r="E45" s="28" t="s">
        <v>63</v>
      </c>
      <c r="F45" s="29"/>
      <c r="G45" s="30"/>
    </row>
    <row r="46" ht="15.75" customHeight="1">
      <c r="B46" s="25" t="s">
        <v>21</v>
      </c>
      <c r="C46" s="10" t="s">
        <v>38</v>
      </c>
      <c r="D46" s="7"/>
      <c r="E46" s="7"/>
      <c r="G46" s="7"/>
    </row>
    <row r="47" ht="15.75" customHeight="1">
      <c r="B47" s="25" t="s">
        <v>22</v>
      </c>
      <c r="C47" s="10" t="s">
        <v>64</v>
      </c>
      <c r="D47" s="7"/>
      <c r="E47" s="31" t="s">
        <v>65</v>
      </c>
      <c r="F47" s="32"/>
      <c r="G47" s="31"/>
    </row>
    <row r="48" ht="15.75" customHeight="1">
      <c r="B48" s="25" t="s">
        <v>23</v>
      </c>
      <c r="C48" s="10" t="s">
        <v>64</v>
      </c>
      <c r="D48" s="7"/>
      <c r="E48" s="7" t="s">
        <v>66</v>
      </c>
      <c r="G48" s="7"/>
    </row>
    <row r="49" ht="15.75" customHeight="1">
      <c r="B49" s="25" t="s">
        <v>24</v>
      </c>
      <c r="C49" s="10" t="s">
        <v>64</v>
      </c>
      <c r="D49" s="7"/>
      <c r="E49" s="7" t="s">
        <v>67</v>
      </c>
    </row>
    <row r="50" ht="15.75" customHeight="1">
      <c r="B50" s="25" t="s">
        <v>25</v>
      </c>
      <c r="C50" s="10" t="s">
        <v>64</v>
      </c>
      <c r="D50" s="7"/>
      <c r="E50" s="7"/>
    </row>
    <row r="51" ht="15.75" customHeight="1">
      <c r="B51" s="25" t="s">
        <v>26</v>
      </c>
      <c r="C51" s="10" t="s">
        <v>64</v>
      </c>
      <c r="D51" s="7"/>
      <c r="E51" s="7"/>
      <c r="G51" s="7"/>
    </row>
    <row r="52" ht="15.75" customHeight="1">
      <c r="B52" s="25" t="s">
        <v>27</v>
      </c>
      <c r="C52" s="10" t="s">
        <v>45</v>
      </c>
      <c r="D52" s="7"/>
      <c r="E52" s="7"/>
      <c r="G52" s="7"/>
    </row>
    <row r="53" ht="15.75" customHeight="1">
      <c r="B53" s="25" t="s">
        <v>28</v>
      </c>
      <c r="C53" s="10" t="s">
        <v>68</v>
      </c>
      <c r="D53" s="7"/>
      <c r="E53" s="7"/>
      <c r="G53" s="7"/>
    </row>
    <row r="54" ht="15.75" customHeight="1">
      <c r="B54" s="25" t="s">
        <v>29</v>
      </c>
      <c r="C54" s="10" t="s">
        <v>68</v>
      </c>
      <c r="D54" s="7"/>
      <c r="E54" s="7"/>
      <c r="G54" s="7"/>
    </row>
    <row r="55" ht="15.75" customHeight="1">
      <c r="B55" s="33" t="s">
        <v>30</v>
      </c>
      <c r="C55" s="10" t="s">
        <v>68</v>
      </c>
      <c r="D55" s="7"/>
      <c r="E55" s="7"/>
      <c r="G55" s="7"/>
    </row>
    <row r="56" ht="15.75" customHeight="1">
      <c r="B56" s="25" t="s">
        <v>31</v>
      </c>
      <c r="C56" s="10" t="s">
        <v>68</v>
      </c>
      <c r="D56" s="7"/>
      <c r="E56" s="7"/>
      <c r="G56" s="7"/>
    </row>
    <row r="57" ht="15.75" customHeight="1">
      <c r="B57" s="34" t="s">
        <v>32</v>
      </c>
      <c r="C57" s="30" t="s">
        <v>68</v>
      </c>
      <c r="D57" s="7"/>
      <c r="E57" s="7"/>
      <c r="G57" s="7"/>
    </row>
    <row r="58" ht="15.75" customHeight="1">
      <c r="B58" s="20"/>
    </row>
    <row r="59" ht="15.75" customHeight="1">
      <c r="B59" s="21" t="s">
        <v>1</v>
      </c>
      <c r="C59" s="24" t="s">
        <v>69</v>
      </c>
      <c r="E59" s="7" t="s">
        <v>70</v>
      </c>
    </row>
    <row r="60" ht="15.75" customHeight="1">
      <c r="B60" s="25" t="s">
        <v>7</v>
      </c>
      <c r="C60" s="10">
        <v>1.0</v>
      </c>
      <c r="E60" s="7" t="s">
        <v>71</v>
      </c>
    </row>
    <row r="61" ht="15.75" customHeight="1">
      <c r="B61" s="25" t="s">
        <v>9</v>
      </c>
      <c r="C61" s="10">
        <v>4.0</v>
      </c>
    </row>
    <row r="62" ht="15.75" customHeight="1">
      <c r="B62" s="25" t="s">
        <v>10</v>
      </c>
      <c r="C62" s="10">
        <v>23.0</v>
      </c>
      <c r="E62" s="7" t="s">
        <v>72</v>
      </c>
    </row>
    <row r="63" ht="15.75" customHeight="1">
      <c r="B63" s="25" t="s">
        <v>11</v>
      </c>
      <c r="C63" s="10">
        <v>5.0</v>
      </c>
      <c r="E63" s="7" t="s">
        <v>73</v>
      </c>
    </row>
    <row r="64" ht="15.75" customHeight="1">
      <c r="B64" s="25" t="s">
        <v>12</v>
      </c>
      <c r="C64" s="10">
        <v>7.0</v>
      </c>
      <c r="E64" s="7" t="s">
        <v>74</v>
      </c>
    </row>
    <row r="65" ht="15.75" customHeight="1">
      <c r="B65" s="25" t="s">
        <v>13</v>
      </c>
      <c r="C65" s="10">
        <v>12.0</v>
      </c>
      <c r="E65" s="7" t="s">
        <v>75</v>
      </c>
    </row>
    <row r="66" ht="15.75" customHeight="1">
      <c r="B66" s="25" t="s">
        <v>14</v>
      </c>
      <c r="C66" s="10">
        <v>6.0</v>
      </c>
    </row>
    <row r="67" ht="15.75" customHeight="1">
      <c r="B67" s="25" t="s">
        <v>15</v>
      </c>
      <c r="C67" s="10">
        <v>24.0</v>
      </c>
    </row>
    <row r="68" ht="15.75" customHeight="1">
      <c r="B68" s="25" t="s">
        <v>16</v>
      </c>
      <c r="C68" s="10">
        <v>2.0</v>
      </c>
    </row>
    <row r="69" ht="15.75" customHeight="1">
      <c r="B69" s="25" t="s">
        <v>17</v>
      </c>
      <c r="C69" s="10">
        <v>3.0</v>
      </c>
    </row>
    <row r="70" ht="15.75" customHeight="1">
      <c r="B70" s="25" t="s">
        <v>18</v>
      </c>
      <c r="C70" s="10">
        <v>8.0</v>
      </c>
    </row>
    <row r="71" ht="15.75" customHeight="1">
      <c r="B71" s="25" t="s">
        <v>19</v>
      </c>
      <c r="C71" s="10">
        <v>9.0</v>
      </c>
    </row>
    <row r="72" ht="15.75" customHeight="1">
      <c r="B72" s="25" t="s">
        <v>20</v>
      </c>
      <c r="C72" s="10">
        <v>11.0</v>
      </c>
    </row>
    <row r="73" ht="15.75" customHeight="1">
      <c r="B73" s="25" t="s">
        <v>21</v>
      </c>
      <c r="C73" s="10">
        <v>10.0</v>
      </c>
    </row>
    <row r="74" ht="15.75" customHeight="1">
      <c r="B74" s="25" t="s">
        <v>22</v>
      </c>
      <c r="C74" s="10">
        <v>15.0</v>
      </c>
    </row>
    <row r="75" ht="15.75" customHeight="1">
      <c r="B75" s="25" t="s">
        <v>23</v>
      </c>
      <c r="C75" s="10">
        <v>13.0</v>
      </c>
    </row>
    <row r="76" ht="15.75" customHeight="1">
      <c r="B76" s="25" t="s">
        <v>24</v>
      </c>
      <c r="C76" s="10">
        <v>19.0</v>
      </c>
    </row>
    <row r="77" ht="15.75" customHeight="1">
      <c r="B77" s="25" t="s">
        <v>25</v>
      </c>
      <c r="C77" s="10">
        <v>20.0</v>
      </c>
    </row>
    <row r="78" ht="15.75" customHeight="1">
      <c r="B78" s="25" t="s">
        <v>26</v>
      </c>
      <c r="C78" s="10">
        <v>14.0</v>
      </c>
    </row>
    <row r="79" ht="15.75" customHeight="1">
      <c r="B79" s="25" t="s">
        <v>27</v>
      </c>
      <c r="C79" s="10">
        <v>25.0</v>
      </c>
    </row>
    <row r="80" ht="15.75" customHeight="1">
      <c r="B80" s="25" t="s">
        <v>28</v>
      </c>
      <c r="C80" s="10">
        <v>16.0</v>
      </c>
    </row>
    <row r="81" ht="15.75" customHeight="1">
      <c r="B81" s="25" t="s">
        <v>29</v>
      </c>
      <c r="C81" s="10">
        <v>18.0</v>
      </c>
    </row>
    <row r="82" ht="15.75" customHeight="1">
      <c r="B82" s="33" t="s">
        <v>30</v>
      </c>
      <c r="C82" s="10">
        <v>17.0</v>
      </c>
    </row>
    <row r="83" ht="15.75" customHeight="1">
      <c r="B83" s="25" t="s">
        <v>31</v>
      </c>
      <c r="C83" s="10">
        <v>21.0</v>
      </c>
    </row>
    <row r="84" ht="15.75" customHeight="1">
      <c r="B84" s="34" t="s">
        <v>32</v>
      </c>
      <c r="C84" s="30">
        <v>22.0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0:H30"/>
    <mergeCell ref="E49:H49"/>
    <mergeCell ref="E50:H50"/>
    <mergeCell ref="E62:H62"/>
    <mergeCell ref="E64:H64"/>
    <mergeCell ref="E65:H65"/>
  </mergeCells>
  <dataValidations>
    <dataValidation type="list" allowBlank="1" showErrorMessage="1" sqref="C33:C57">
      <formula1>"Cliente,Opcional,Tienda,Backend"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38"/>
    <col customWidth="1" min="4" max="5" width="25.5"/>
  </cols>
  <sheetData>
    <row r="1">
      <c r="A1" s="35"/>
      <c r="B1" s="35"/>
      <c r="F1" s="35"/>
      <c r="G1" s="35"/>
      <c r="H1" s="35"/>
      <c r="I1" s="35"/>
      <c r="J1" s="35"/>
      <c r="K1" s="35"/>
      <c r="L1" s="35"/>
      <c r="M1" s="35"/>
    </row>
    <row r="2">
      <c r="A2" s="35"/>
      <c r="B2" s="35"/>
      <c r="C2" s="35"/>
      <c r="D2" s="35"/>
      <c r="E2" s="36">
        <v>6.0</v>
      </c>
      <c r="F2" s="35"/>
      <c r="G2" s="35"/>
      <c r="H2" s="35"/>
      <c r="I2" s="35"/>
      <c r="J2" s="35"/>
      <c r="K2" s="35"/>
      <c r="L2" s="35"/>
      <c r="M2" s="35"/>
    </row>
    <row r="3">
      <c r="A3" s="35"/>
      <c r="B3" s="37" t="s">
        <v>1</v>
      </c>
      <c r="C3" s="38" t="s">
        <v>69</v>
      </c>
      <c r="D3" s="39" t="s">
        <v>76</v>
      </c>
      <c r="E3" s="39" t="s">
        <v>77</v>
      </c>
      <c r="F3" s="35"/>
      <c r="G3" s="35" t="s">
        <v>78</v>
      </c>
      <c r="H3" s="35"/>
      <c r="I3" s="35"/>
      <c r="J3" s="35"/>
      <c r="K3" s="35"/>
      <c r="L3" s="35"/>
      <c r="M3" s="35"/>
    </row>
    <row r="4">
      <c r="A4" s="35"/>
      <c r="B4" s="40" t="s">
        <v>7</v>
      </c>
      <c r="C4" s="41">
        <v>1.0</v>
      </c>
      <c r="D4" s="42">
        <v>3.0</v>
      </c>
      <c r="E4" s="42">
        <f t="shared" ref="E4:E28" si="1">D4*6</f>
        <v>18</v>
      </c>
      <c r="F4" s="35"/>
      <c r="G4" s="35"/>
      <c r="H4" s="35"/>
      <c r="I4" s="35"/>
      <c r="J4" s="35"/>
      <c r="K4" s="35"/>
      <c r="L4" s="35"/>
      <c r="M4" s="35"/>
    </row>
    <row r="5">
      <c r="A5" s="35"/>
      <c r="B5" s="40" t="s">
        <v>9</v>
      </c>
      <c r="C5" s="41">
        <v>4.0</v>
      </c>
      <c r="D5" s="42">
        <v>2.0</v>
      </c>
      <c r="E5" s="42">
        <f t="shared" si="1"/>
        <v>12</v>
      </c>
      <c r="F5" s="35"/>
      <c r="G5" s="35"/>
      <c r="H5" s="35"/>
      <c r="I5" s="35"/>
      <c r="J5" s="35"/>
      <c r="K5" s="35"/>
      <c r="L5" s="35"/>
      <c r="M5" s="35"/>
    </row>
    <row r="6">
      <c r="A6" s="35"/>
      <c r="B6" s="40" t="s">
        <v>10</v>
      </c>
      <c r="C6" s="41">
        <v>23.0</v>
      </c>
      <c r="D6" s="42">
        <v>2.0</v>
      </c>
      <c r="E6" s="42">
        <f t="shared" si="1"/>
        <v>12</v>
      </c>
      <c r="F6" s="35"/>
      <c r="G6" s="35"/>
      <c r="H6" s="35"/>
      <c r="I6" s="35"/>
      <c r="J6" s="35"/>
      <c r="K6" s="35"/>
      <c r="L6" s="35"/>
      <c r="M6" s="35"/>
    </row>
    <row r="7">
      <c r="A7" s="35"/>
      <c r="B7" s="40" t="s">
        <v>11</v>
      </c>
      <c r="C7" s="41">
        <v>5.0</v>
      </c>
      <c r="D7" s="42">
        <v>5.0</v>
      </c>
      <c r="E7" s="42">
        <f t="shared" si="1"/>
        <v>30</v>
      </c>
      <c r="F7" s="35"/>
      <c r="G7" s="35"/>
      <c r="H7" s="35"/>
      <c r="I7" s="35"/>
      <c r="J7" s="35"/>
      <c r="K7" s="35"/>
      <c r="L7" s="35"/>
      <c r="M7" s="35"/>
    </row>
    <row r="8">
      <c r="A8" s="35"/>
      <c r="B8" s="40" t="s">
        <v>12</v>
      </c>
      <c r="C8" s="41">
        <v>7.0</v>
      </c>
      <c r="D8" s="42">
        <v>5.0</v>
      </c>
      <c r="E8" s="42">
        <f t="shared" si="1"/>
        <v>30</v>
      </c>
      <c r="F8" s="35"/>
      <c r="G8" s="35"/>
      <c r="H8" s="35"/>
      <c r="I8" s="35"/>
      <c r="J8" s="35"/>
      <c r="K8" s="35"/>
      <c r="L8" s="35"/>
      <c r="M8" s="35"/>
    </row>
    <row r="9">
      <c r="A9" s="35"/>
      <c r="B9" s="40" t="s">
        <v>13</v>
      </c>
      <c r="C9" s="41">
        <v>12.0</v>
      </c>
      <c r="D9" s="42">
        <v>2.0</v>
      </c>
      <c r="E9" s="42">
        <f t="shared" si="1"/>
        <v>12</v>
      </c>
      <c r="F9" s="35"/>
      <c r="G9" s="35"/>
      <c r="H9" s="35"/>
      <c r="I9" s="35"/>
      <c r="J9" s="35"/>
      <c r="K9" s="35"/>
      <c r="L9" s="35"/>
      <c r="M9" s="35"/>
    </row>
    <row r="10">
      <c r="A10" s="35"/>
      <c r="B10" s="40" t="s">
        <v>14</v>
      </c>
      <c r="C10" s="41">
        <v>6.0</v>
      </c>
      <c r="D10" s="42">
        <v>2.0</v>
      </c>
      <c r="E10" s="42">
        <f t="shared" si="1"/>
        <v>12</v>
      </c>
      <c r="F10" s="35"/>
      <c r="G10" s="35"/>
      <c r="H10" s="35"/>
      <c r="I10" s="35"/>
      <c r="J10" s="35"/>
      <c r="K10" s="35"/>
      <c r="L10" s="35"/>
      <c r="M10" s="35"/>
    </row>
    <row r="11">
      <c r="A11" s="35"/>
      <c r="B11" s="40" t="s">
        <v>15</v>
      </c>
      <c r="C11" s="41">
        <v>24.0</v>
      </c>
      <c r="D11" s="42">
        <v>8.0</v>
      </c>
      <c r="E11" s="42">
        <f t="shared" si="1"/>
        <v>48</v>
      </c>
      <c r="F11" s="35"/>
      <c r="G11" s="35"/>
      <c r="H11" s="35"/>
      <c r="I11" s="35"/>
      <c r="J11" s="35"/>
      <c r="K11" s="35"/>
      <c r="L11" s="35"/>
      <c r="M11" s="35"/>
    </row>
    <row r="12">
      <c r="A12" s="35"/>
      <c r="B12" s="40" t="s">
        <v>16</v>
      </c>
      <c r="C12" s="41">
        <v>2.0</v>
      </c>
      <c r="D12" s="42">
        <v>13.0</v>
      </c>
      <c r="E12" s="42">
        <f t="shared" si="1"/>
        <v>78</v>
      </c>
      <c r="F12" s="35"/>
      <c r="G12" s="35"/>
      <c r="H12" s="35"/>
      <c r="I12" s="35"/>
      <c r="J12" s="35"/>
      <c r="K12" s="35"/>
      <c r="L12" s="35"/>
      <c r="M12" s="35"/>
    </row>
    <row r="13">
      <c r="A13" s="35"/>
      <c r="B13" s="40" t="s">
        <v>17</v>
      </c>
      <c r="C13" s="41">
        <v>3.0</v>
      </c>
      <c r="D13" s="42">
        <v>5.0</v>
      </c>
      <c r="E13" s="42">
        <f t="shared" si="1"/>
        <v>30</v>
      </c>
      <c r="F13" s="35"/>
      <c r="G13" s="35"/>
      <c r="H13" s="35"/>
      <c r="I13" s="35"/>
      <c r="J13" s="35"/>
      <c r="K13" s="35"/>
      <c r="L13" s="35"/>
      <c r="M13" s="35"/>
    </row>
    <row r="14">
      <c r="A14" s="35"/>
      <c r="B14" s="40" t="s">
        <v>18</v>
      </c>
      <c r="C14" s="41">
        <v>8.0</v>
      </c>
      <c r="D14" s="42">
        <v>5.0</v>
      </c>
      <c r="E14" s="42">
        <f t="shared" si="1"/>
        <v>30</v>
      </c>
      <c r="F14" s="35"/>
      <c r="G14" s="35"/>
      <c r="H14" s="35"/>
      <c r="I14" s="35"/>
      <c r="J14" s="35"/>
      <c r="K14" s="35"/>
      <c r="L14" s="35"/>
      <c r="M14" s="35"/>
    </row>
    <row r="15">
      <c r="A15" s="35"/>
      <c r="B15" s="40" t="s">
        <v>19</v>
      </c>
      <c r="C15" s="41">
        <v>9.0</v>
      </c>
      <c r="D15" s="42">
        <v>5.0</v>
      </c>
      <c r="E15" s="42">
        <f t="shared" si="1"/>
        <v>30</v>
      </c>
      <c r="F15" s="35"/>
      <c r="G15" s="35"/>
      <c r="H15" s="35"/>
      <c r="I15" s="35"/>
      <c r="J15" s="35"/>
      <c r="K15" s="35"/>
      <c r="L15" s="35"/>
      <c r="M15" s="35"/>
    </row>
    <row r="16">
      <c r="A16" s="35"/>
      <c r="B16" s="40" t="s">
        <v>20</v>
      </c>
      <c r="C16" s="41">
        <v>11.0</v>
      </c>
      <c r="D16" s="42">
        <v>5.0</v>
      </c>
      <c r="E16" s="42">
        <f t="shared" si="1"/>
        <v>30</v>
      </c>
      <c r="F16" s="35"/>
      <c r="G16" s="35"/>
      <c r="H16" s="35"/>
      <c r="I16" s="35"/>
      <c r="J16" s="35"/>
      <c r="K16" s="35"/>
      <c r="L16" s="35"/>
      <c r="M16" s="35"/>
    </row>
    <row r="17">
      <c r="A17" s="35"/>
      <c r="B17" s="40" t="s">
        <v>21</v>
      </c>
      <c r="C17" s="41">
        <v>10.0</v>
      </c>
      <c r="D17" s="42">
        <v>3.0</v>
      </c>
      <c r="E17" s="42">
        <f t="shared" si="1"/>
        <v>18</v>
      </c>
      <c r="F17" s="35"/>
      <c r="G17" s="35"/>
      <c r="H17" s="35"/>
      <c r="I17" s="35"/>
      <c r="J17" s="35"/>
      <c r="K17" s="35"/>
      <c r="L17" s="35"/>
      <c r="M17" s="35"/>
    </row>
    <row r="18">
      <c r="A18" s="35"/>
      <c r="B18" s="40" t="s">
        <v>22</v>
      </c>
      <c r="C18" s="41">
        <v>15.0</v>
      </c>
      <c r="D18" s="42">
        <v>8.0</v>
      </c>
      <c r="E18" s="42">
        <f t="shared" si="1"/>
        <v>48</v>
      </c>
      <c r="F18" s="35"/>
      <c r="G18" s="35"/>
      <c r="H18" s="35"/>
      <c r="I18" s="35"/>
      <c r="J18" s="35"/>
      <c r="K18" s="35"/>
      <c r="L18" s="35"/>
      <c r="M18" s="35"/>
    </row>
    <row r="19">
      <c r="A19" s="35"/>
      <c r="B19" s="40" t="s">
        <v>23</v>
      </c>
      <c r="C19" s="41">
        <v>13.0</v>
      </c>
      <c r="D19" s="42">
        <v>8.0</v>
      </c>
      <c r="E19" s="42">
        <f t="shared" si="1"/>
        <v>48</v>
      </c>
      <c r="F19" s="35"/>
      <c r="G19" s="35"/>
      <c r="H19" s="35"/>
      <c r="I19" s="35"/>
      <c r="J19" s="35"/>
      <c r="K19" s="35"/>
      <c r="L19" s="35"/>
      <c r="M19" s="35"/>
    </row>
    <row r="20">
      <c r="A20" s="35"/>
      <c r="B20" s="40" t="s">
        <v>24</v>
      </c>
      <c r="C20" s="41">
        <v>19.0</v>
      </c>
      <c r="D20" s="42">
        <v>8.0</v>
      </c>
      <c r="E20" s="42">
        <f t="shared" si="1"/>
        <v>48</v>
      </c>
      <c r="F20" s="35"/>
      <c r="G20" s="35"/>
      <c r="H20" s="35"/>
      <c r="I20" s="35"/>
      <c r="J20" s="35"/>
      <c r="K20" s="35"/>
      <c r="L20" s="35"/>
      <c r="M20" s="35"/>
    </row>
    <row r="21">
      <c r="A21" s="35"/>
      <c r="B21" s="40" t="s">
        <v>25</v>
      </c>
      <c r="C21" s="41">
        <v>20.0</v>
      </c>
      <c r="D21" s="42">
        <v>5.0</v>
      </c>
      <c r="E21" s="42">
        <f t="shared" si="1"/>
        <v>30</v>
      </c>
      <c r="F21" s="35"/>
      <c r="G21" s="35"/>
      <c r="H21" s="35"/>
      <c r="I21" s="35"/>
      <c r="J21" s="35"/>
      <c r="K21" s="35"/>
      <c r="L21" s="35"/>
      <c r="M21" s="35"/>
    </row>
    <row r="22">
      <c r="A22" s="35"/>
      <c r="B22" s="40" t="s">
        <v>26</v>
      </c>
      <c r="C22" s="41">
        <v>14.0</v>
      </c>
      <c r="D22" s="42">
        <v>5.0</v>
      </c>
      <c r="E22" s="42">
        <f t="shared" si="1"/>
        <v>30</v>
      </c>
      <c r="F22" s="35"/>
      <c r="G22" s="35"/>
      <c r="H22" s="35"/>
      <c r="I22" s="35"/>
      <c r="J22" s="35"/>
      <c r="K22" s="35"/>
      <c r="L22" s="35"/>
      <c r="M22" s="35"/>
    </row>
    <row r="23">
      <c r="A23" s="35"/>
      <c r="B23" s="40" t="s">
        <v>27</v>
      </c>
      <c r="C23" s="41">
        <v>25.0</v>
      </c>
      <c r="D23" s="42">
        <v>8.0</v>
      </c>
      <c r="E23" s="42">
        <f t="shared" si="1"/>
        <v>48</v>
      </c>
      <c r="F23" s="35"/>
      <c r="G23" s="35"/>
      <c r="H23" s="35"/>
      <c r="I23" s="35"/>
      <c r="J23" s="35"/>
      <c r="K23" s="35"/>
      <c r="L23" s="35"/>
      <c r="M23" s="35"/>
    </row>
    <row r="24">
      <c r="A24" s="35"/>
      <c r="B24" s="40" t="s">
        <v>28</v>
      </c>
      <c r="C24" s="41">
        <v>16.0</v>
      </c>
      <c r="D24" s="42">
        <v>3.0</v>
      </c>
      <c r="E24" s="42">
        <f t="shared" si="1"/>
        <v>18</v>
      </c>
      <c r="F24" s="35"/>
      <c r="G24" s="35"/>
      <c r="H24" s="35"/>
      <c r="I24" s="35"/>
      <c r="J24" s="35"/>
      <c r="K24" s="35"/>
      <c r="L24" s="35"/>
      <c r="M24" s="35"/>
    </row>
    <row r="25">
      <c r="A25" s="35"/>
      <c r="B25" s="43" t="s">
        <v>29</v>
      </c>
      <c r="C25" s="41">
        <v>18.0</v>
      </c>
      <c r="D25" s="42">
        <v>5.0</v>
      </c>
      <c r="E25" s="42">
        <f t="shared" si="1"/>
        <v>30</v>
      </c>
      <c r="F25" s="35"/>
      <c r="G25" s="35"/>
      <c r="H25" s="35"/>
      <c r="I25" s="35"/>
      <c r="J25" s="35"/>
      <c r="K25" s="35"/>
      <c r="L25" s="35"/>
      <c r="M25" s="35"/>
    </row>
    <row r="26">
      <c r="A26" s="35"/>
      <c r="B26" s="44" t="s">
        <v>30</v>
      </c>
      <c r="C26" s="41">
        <v>17.0</v>
      </c>
      <c r="D26" s="42">
        <v>5.0</v>
      </c>
      <c r="E26" s="42">
        <f t="shared" si="1"/>
        <v>30</v>
      </c>
      <c r="F26" s="35"/>
      <c r="G26" s="35"/>
      <c r="H26" s="35"/>
      <c r="I26" s="35"/>
      <c r="J26" s="35"/>
      <c r="K26" s="35"/>
      <c r="L26" s="35"/>
      <c r="M26" s="35"/>
    </row>
    <row r="27">
      <c r="A27" s="35"/>
      <c r="B27" s="40" t="s">
        <v>31</v>
      </c>
      <c r="C27" s="41">
        <v>21.0</v>
      </c>
      <c r="D27" s="42">
        <v>1.0</v>
      </c>
      <c r="E27" s="42">
        <f t="shared" si="1"/>
        <v>6</v>
      </c>
      <c r="F27" s="35"/>
      <c r="G27" s="35"/>
      <c r="H27" s="35"/>
      <c r="I27" s="35"/>
      <c r="J27" s="35"/>
      <c r="K27" s="35"/>
      <c r="L27" s="35"/>
      <c r="M27" s="35"/>
    </row>
    <row r="28">
      <c r="A28" s="35"/>
      <c r="B28" s="45" t="s">
        <v>32</v>
      </c>
      <c r="C28" s="46">
        <v>22.0</v>
      </c>
      <c r="D28" s="47">
        <v>3.0</v>
      </c>
      <c r="E28" s="42">
        <f t="shared" si="1"/>
        <v>18</v>
      </c>
      <c r="F28" s="35"/>
      <c r="G28" s="35"/>
      <c r="H28" s="35"/>
      <c r="I28" s="35"/>
      <c r="J28" s="35"/>
      <c r="K28" s="35"/>
      <c r="L28" s="35"/>
      <c r="M28" s="35"/>
    </row>
    <row r="29">
      <c r="A29" s="35"/>
      <c r="B29" s="35"/>
      <c r="C29" s="35"/>
      <c r="D29" s="48">
        <f>SUM(D2:D28)</f>
        <v>124</v>
      </c>
      <c r="E29" s="35"/>
      <c r="F29" s="35"/>
      <c r="G29" s="35"/>
      <c r="H29" s="35"/>
      <c r="I29" s="35"/>
      <c r="J29" s="35"/>
      <c r="K29" s="35"/>
      <c r="L29" s="35"/>
      <c r="M29" s="35"/>
    </row>
    <row r="30">
      <c r="A30" s="35"/>
      <c r="B30" s="35"/>
      <c r="C30" s="35"/>
      <c r="D30" s="49" t="s">
        <v>79</v>
      </c>
      <c r="E30" s="50">
        <f>SUM(E4:E28)</f>
        <v>744</v>
      </c>
      <c r="F30" s="35"/>
      <c r="G30" s="35"/>
      <c r="H30" s="35"/>
      <c r="I30" s="35"/>
      <c r="J30" s="35"/>
      <c r="K30" s="35"/>
      <c r="L30" s="35"/>
      <c r="M30" s="35"/>
    </row>
    <row r="31">
      <c r="A31" s="35"/>
      <c r="B31" s="35"/>
      <c r="C31" s="35"/>
      <c r="D31" s="51" t="s">
        <v>80</v>
      </c>
      <c r="E31" s="52">
        <f>E30*0.25</f>
        <v>186</v>
      </c>
      <c r="F31" s="35"/>
      <c r="G31" s="35"/>
      <c r="H31" s="35"/>
      <c r="I31" s="35"/>
      <c r="J31" s="35"/>
      <c r="K31" s="35"/>
      <c r="L31" s="35"/>
      <c r="M31" s="35"/>
    </row>
    <row r="32">
      <c r="A32" s="35"/>
      <c r="B32" s="35"/>
      <c r="C32" s="35"/>
      <c r="D32" s="53" t="s">
        <v>81</v>
      </c>
      <c r="E32" s="54">
        <f>SUM(E30:E31)</f>
        <v>930</v>
      </c>
      <c r="F32" s="35"/>
      <c r="G32" s="35"/>
      <c r="H32" s="35"/>
      <c r="I32" s="35"/>
      <c r="J32" s="35"/>
      <c r="K32" s="35"/>
      <c r="L32" s="35"/>
      <c r="M32" s="35"/>
    </row>
  </sheetData>
  <mergeCells count="1">
    <mergeCell ref="B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8.25"/>
    <col customWidth="1" min="4" max="4" width="17.25"/>
    <col customWidth="1" min="5" max="5" width="13.38"/>
  </cols>
  <sheetData>
    <row r="1">
      <c r="A1" s="35"/>
      <c r="B1" s="35"/>
      <c r="C1" s="35"/>
      <c r="D1" s="35"/>
      <c r="E1" s="35"/>
      <c r="F1" s="35"/>
    </row>
    <row r="2">
      <c r="A2" s="35"/>
      <c r="B2" s="37" t="s">
        <v>1</v>
      </c>
      <c r="C2" s="38" t="s">
        <v>69</v>
      </c>
      <c r="D2" s="39" t="s">
        <v>76</v>
      </c>
      <c r="E2" s="39" t="s">
        <v>77</v>
      </c>
      <c r="F2" s="35"/>
    </row>
    <row r="3">
      <c r="A3" s="35"/>
      <c r="B3" s="40" t="s">
        <v>16</v>
      </c>
      <c r="C3" s="55">
        <v>2.0</v>
      </c>
      <c r="D3" s="56">
        <v>13.0</v>
      </c>
      <c r="E3" s="56">
        <f t="shared" ref="E3:E7" si="1">D3*6</f>
        <v>78</v>
      </c>
      <c r="F3" s="35"/>
    </row>
    <row r="4">
      <c r="A4" s="35"/>
      <c r="B4" s="40" t="s">
        <v>23</v>
      </c>
      <c r="C4" s="55">
        <v>13.0</v>
      </c>
      <c r="D4" s="56">
        <v>8.0</v>
      </c>
      <c r="E4" s="56">
        <f t="shared" si="1"/>
        <v>48</v>
      </c>
      <c r="F4" s="35"/>
    </row>
    <row r="5">
      <c r="A5" s="35"/>
      <c r="B5" s="40" t="s">
        <v>24</v>
      </c>
      <c r="C5" s="55">
        <v>19.0</v>
      </c>
      <c r="D5" s="56">
        <v>8.0</v>
      </c>
      <c r="E5" s="56">
        <f t="shared" si="1"/>
        <v>48</v>
      </c>
      <c r="F5" s="35"/>
    </row>
    <row r="6">
      <c r="A6" s="35"/>
      <c r="B6" s="40" t="s">
        <v>15</v>
      </c>
      <c r="C6" s="55">
        <v>24.0</v>
      </c>
      <c r="D6" s="56">
        <v>8.0</v>
      </c>
      <c r="E6" s="56">
        <f t="shared" si="1"/>
        <v>48</v>
      </c>
      <c r="F6" s="35"/>
    </row>
    <row r="7">
      <c r="A7" s="35"/>
      <c r="B7" s="40" t="s">
        <v>27</v>
      </c>
      <c r="C7" s="55">
        <v>25.0</v>
      </c>
      <c r="D7" s="56">
        <v>8.0</v>
      </c>
      <c r="E7" s="56">
        <f t="shared" si="1"/>
        <v>48</v>
      </c>
      <c r="F7" s="35"/>
    </row>
    <row r="8">
      <c r="A8" s="35"/>
      <c r="B8" s="35"/>
      <c r="C8" s="35"/>
      <c r="D8" s="35"/>
      <c r="E8" s="35"/>
      <c r="F8" s="35"/>
    </row>
    <row r="9">
      <c r="A9" s="35"/>
      <c r="B9" s="35"/>
      <c r="C9" s="35"/>
      <c r="D9" s="35"/>
      <c r="E9" s="35"/>
      <c r="F9" s="35"/>
    </row>
    <row r="10">
      <c r="A10" s="35"/>
      <c r="B10" s="57" t="s">
        <v>82</v>
      </c>
      <c r="C10" s="58" t="s">
        <v>83</v>
      </c>
      <c r="D10" s="59" t="s">
        <v>84</v>
      </c>
      <c r="E10" s="35"/>
      <c r="F10" s="35"/>
    </row>
    <row r="11">
      <c r="A11" s="35"/>
      <c r="B11" s="51" t="s">
        <v>85</v>
      </c>
      <c r="C11" s="60" t="s">
        <v>86</v>
      </c>
      <c r="D11" s="52">
        <v>18.0</v>
      </c>
      <c r="E11" s="35"/>
      <c r="F11" s="35"/>
    </row>
    <row r="12">
      <c r="A12" s="35"/>
      <c r="B12" s="51" t="s">
        <v>87</v>
      </c>
      <c r="C12" s="60" t="s">
        <v>88</v>
      </c>
      <c r="D12" s="52">
        <v>24.0</v>
      </c>
      <c r="E12" s="35"/>
      <c r="F12" s="35"/>
    </row>
    <row r="13">
      <c r="A13" s="35"/>
      <c r="B13" s="51" t="s">
        <v>89</v>
      </c>
      <c r="C13" s="60" t="s">
        <v>90</v>
      </c>
      <c r="D13" s="52">
        <v>24.0</v>
      </c>
      <c r="E13" s="35"/>
      <c r="F13" s="35"/>
    </row>
    <row r="14">
      <c r="A14" s="35"/>
      <c r="B14" s="53" t="s">
        <v>91</v>
      </c>
      <c r="C14" s="61" t="s">
        <v>92</v>
      </c>
      <c r="D14" s="54">
        <v>12.0</v>
      </c>
      <c r="E14" s="35"/>
      <c r="F14" s="35"/>
    </row>
    <row r="15">
      <c r="A15" s="35"/>
      <c r="B15" s="35"/>
      <c r="C15" s="35"/>
      <c r="D15" s="62">
        <f>SUM(D11:D14)</f>
        <v>78</v>
      </c>
      <c r="E15" s="35"/>
      <c r="F15" s="35"/>
    </row>
    <row r="16">
      <c r="A16" s="35"/>
      <c r="B16" s="35"/>
      <c r="C16" s="35"/>
      <c r="D16" s="35"/>
      <c r="E16" s="35"/>
      <c r="F16" s="35"/>
    </row>
    <row r="17">
      <c r="A17" s="35"/>
      <c r="B17" s="57" t="s">
        <v>93</v>
      </c>
      <c r="C17" s="58" t="s">
        <v>83</v>
      </c>
      <c r="D17" s="59" t="s">
        <v>84</v>
      </c>
      <c r="E17" s="35"/>
      <c r="F17" s="35"/>
    </row>
    <row r="18">
      <c r="A18" s="35"/>
      <c r="B18" s="51" t="s">
        <v>94</v>
      </c>
      <c r="C18" s="60" t="s">
        <v>95</v>
      </c>
      <c r="D18" s="52">
        <v>16.0</v>
      </c>
      <c r="E18" s="35"/>
      <c r="F18" s="35"/>
    </row>
    <row r="19">
      <c r="A19" s="35"/>
      <c r="B19" s="51" t="s">
        <v>96</v>
      </c>
      <c r="C19" s="60" t="s">
        <v>97</v>
      </c>
      <c r="D19" s="52">
        <v>16.0</v>
      </c>
      <c r="E19" s="35"/>
      <c r="F19" s="35"/>
    </row>
    <row r="20">
      <c r="A20" s="35"/>
      <c r="B20" s="51" t="s">
        <v>98</v>
      </c>
      <c r="C20" s="60" t="s">
        <v>99</v>
      </c>
      <c r="D20" s="52">
        <v>16.0</v>
      </c>
      <c r="E20" s="35"/>
      <c r="F20" s="35"/>
    </row>
    <row r="21">
      <c r="A21" s="35"/>
      <c r="B21" s="35"/>
      <c r="C21" s="35"/>
      <c r="D21" s="62">
        <f>SUM(D18:D20)</f>
        <v>48</v>
      </c>
      <c r="E21" s="35"/>
      <c r="F21" s="35"/>
    </row>
    <row r="22">
      <c r="A22" s="35"/>
      <c r="B22" s="35"/>
      <c r="C22" s="35"/>
      <c r="D22" s="35"/>
      <c r="E22" s="35"/>
      <c r="F22" s="35"/>
    </row>
    <row r="23">
      <c r="A23" s="35"/>
      <c r="B23" s="57" t="s">
        <v>100</v>
      </c>
      <c r="C23" s="58" t="s">
        <v>83</v>
      </c>
      <c r="D23" s="59" t="s">
        <v>84</v>
      </c>
      <c r="E23" s="35"/>
      <c r="F23" s="35"/>
    </row>
    <row r="24">
      <c r="A24" s="35"/>
      <c r="B24" s="51" t="s">
        <v>101</v>
      </c>
      <c r="C24" s="60" t="s">
        <v>102</v>
      </c>
      <c r="D24" s="52">
        <v>18.0</v>
      </c>
      <c r="E24" s="35"/>
      <c r="F24" s="35"/>
    </row>
    <row r="25">
      <c r="A25" s="35"/>
      <c r="B25" s="51" t="s">
        <v>103</v>
      </c>
      <c r="C25" s="60" t="s">
        <v>104</v>
      </c>
      <c r="D25" s="52">
        <v>18.0</v>
      </c>
      <c r="E25" s="35"/>
      <c r="F25" s="35"/>
    </row>
    <row r="26">
      <c r="A26" s="35"/>
      <c r="B26" s="51" t="s">
        <v>105</v>
      </c>
      <c r="C26" s="60" t="s">
        <v>106</v>
      </c>
      <c r="D26" s="52">
        <v>12.0</v>
      </c>
      <c r="E26" s="35"/>
      <c r="F26" s="35"/>
    </row>
    <row r="27">
      <c r="A27" s="35"/>
      <c r="B27" s="35"/>
      <c r="C27" s="35"/>
      <c r="D27" s="62">
        <f>SUM(D24:D26)</f>
        <v>48</v>
      </c>
      <c r="E27" s="35"/>
      <c r="F27" s="35"/>
    </row>
    <row r="28">
      <c r="A28" s="35"/>
      <c r="B28" s="35"/>
      <c r="C28" s="35"/>
      <c r="D28" s="35"/>
      <c r="E28" s="35"/>
      <c r="F28" s="35"/>
    </row>
    <row r="29">
      <c r="A29" s="35"/>
      <c r="B29" s="57" t="s">
        <v>107</v>
      </c>
      <c r="C29" s="58" t="s">
        <v>83</v>
      </c>
      <c r="D29" s="59" t="s">
        <v>84</v>
      </c>
      <c r="E29" s="35"/>
      <c r="F29" s="35"/>
    </row>
    <row r="30">
      <c r="A30" s="35"/>
      <c r="B30" s="51" t="s">
        <v>108</v>
      </c>
      <c r="C30" s="60" t="s">
        <v>109</v>
      </c>
      <c r="D30" s="52">
        <v>24.0</v>
      </c>
      <c r="E30" s="35"/>
      <c r="F30" s="35"/>
    </row>
    <row r="31">
      <c r="A31" s="35"/>
      <c r="B31" s="51" t="s">
        <v>110</v>
      </c>
      <c r="C31" s="60" t="s">
        <v>111</v>
      </c>
      <c r="D31" s="52">
        <v>24.0</v>
      </c>
      <c r="E31" s="35"/>
      <c r="F31" s="35"/>
    </row>
    <row r="32">
      <c r="A32" s="35"/>
      <c r="B32" s="35"/>
      <c r="C32" s="35"/>
      <c r="D32" s="62">
        <f>SUM(D30:D31)</f>
        <v>48</v>
      </c>
      <c r="E32" s="35"/>
      <c r="F32" s="35"/>
    </row>
    <row r="33">
      <c r="A33" s="35"/>
      <c r="B33" s="35"/>
      <c r="C33" s="35"/>
      <c r="D33" s="35"/>
      <c r="E33" s="35"/>
      <c r="F33" s="35"/>
    </row>
    <row r="34">
      <c r="A34" s="35"/>
      <c r="B34" s="35"/>
      <c r="C34" s="35"/>
      <c r="D34" s="35"/>
      <c r="E34" s="35"/>
      <c r="F34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7.0"/>
    <col customWidth="1" min="13" max="13" width="51.38"/>
    <col customWidth="1" min="14" max="14" width="25.5"/>
  </cols>
  <sheetData>
    <row r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>
      <c r="A2" s="35"/>
      <c r="B2" s="63" t="s">
        <v>112</v>
      </c>
      <c r="C2" s="35"/>
      <c r="D2" s="35" t="s">
        <v>113</v>
      </c>
      <c r="F2" s="35" t="s">
        <v>114</v>
      </c>
      <c r="G2" s="35"/>
      <c r="H2" s="35" t="s">
        <v>115</v>
      </c>
      <c r="J2" s="35"/>
      <c r="K2" s="35"/>
      <c r="L2" s="35"/>
      <c r="M2" s="35"/>
      <c r="N2" s="35"/>
    </row>
    <row r="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>
      <c r="A4" s="35"/>
      <c r="B4" s="63" t="s">
        <v>116</v>
      </c>
      <c r="C4" s="35"/>
      <c r="D4" s="35"/>
      <c r="E4" s="63" t="s">
        <v>117</v>
      </c>
      <c r="F4" s="35"/>
      <c r="G4" s="35"/>
      <c r="H4" s="63" t="s">
        <v>118</v>
      </c>
      <c r="I4" s="35"/>
      <c r="J4" s="35"/>
      <c r="K4" s="35"/>
      <c r="L4" s="35"/>
      <c r="M4" s="35"/>
      <c r="N4" s="35"/>
    </row>
    <row r="5">
      <c r="A5" s="35"/>
      <c r="B5" s="49" t="s">
        <v>119</v>
      </c>
      <c r="C5" s="64" t="s">
        <v>120</v>
      </c>
      <c r="D5" s="35"/>
      <c r="E5" s="49" t="s">
        <v>119</v>
      </c>
      <c r="F5" s="64" t="s">
        <v>120</v>
      </c>
      <c r="G5" s="35"/>
      <c r="H5" s="49" t="s">
        <v>119</v>
      </c>
      <c r="I5" s="64" t="s">
        <v>120</v>
      </c>
      <c r="J5" s="35"/>
      <c r="K5" s="57" t="s">
        <v>121</v>
      </c>
      <c r="L5" s="58" t="s">
        <v>84</v>
      </c>
      <c r="M5" s="58" t="s">
        <v>122</v>
      </c>
      <c r="N5" s="59" t="s">
        <v>123</v>
      </c>
    </row>
    <row r="6">
      <c r="A6" s="35"/>
      <c r="B6" s="51" t="s">
        <v>124</v>
      </c>
      <c r="C6" s="52">
        <v>18.0</v>
      </c>
      <c r="D6" s="35"/>
      <c r="E6" s="51" t="s">
        <v>87</v>
      </c>
      <c r="F6" s="52">
        <v>24.0</v>
      </c>
      <c r="G6" s="35"/>
      <c r="H6" s="51" t="s">
        <v>89</v>
      </c>
      <c r="I6" s="52">
        <v>24.0</v>
      </c>
      <c r="J6" s="35"/>
      <c r="K6" s="65" t="s">
        <v>125</v>
      </c>
      <c r="L6" s="66">
        <f>C11</f>
        <v>60</v>
      </c>
      <c r="M6" s="60" t="s">
        <v>126</v>
      </c>
      <c r="N6" s="67" t="s">
        <v>127</v>
      </c>
    </row>
    <row r="7">
      <c r="A7" s="35"/>
      <c r="B7" s="51" t="s">
        <v>85</v>
      </c>
      <c r="C7" s="52">
        <v>18.0</v>
      </c>
      <c r="D7" s="35"/>
      <c r="E7" s="51" t="s">
        <v>128</v>
      </c>
      <c r="F7" s="52">
        <v>30.0</v>
      </c>
      <c r="G7" s="35"/>
      <c r="H7" s="51" t="s">
        <v>91</v>
      </c>
      <c r="I7" s="52">
        <v>12.0</v>
      </c>
      <c r="J7" s="35"/>
      <c r="K7" s="65" t="s">
        <v>129</v>
      </c>
      <c r="L7" s="66">
        <f>F11</f>
        <v>66</v>
      </c>
      <c r="M7" s="60" t="s">
        <v>130</v>
      </c>
      <c r="N7" s="67" t="s">
        <v>131</v>
      </c>
    </row>
    <row r="8">
      <c r="A8" s="35"/>
      <c r="B8" s="51" t="s">
        <v>132</v>
      </c>
      <c r="C8" s="52">
        <v>12.0</v>
      </c>
      <c r="D8" s="35"/>
      <c r="E8" s="51" t="s">
        <v>133</v>
      </c>
      <c r="F8" s="52">
        <v>12.0</v>
      </c>
      <c r="G8" s="35"/>
      <c r="H8" s="51" t="s">
        <v>134</v>
      </c>
      <c r="I8" s="52">
        <v>30.0</v>
      </c>
      <c r="J8" s="35"/>
      <c r="K8" s="65" t="s">
        <v>135</v>
      </c>
      <c r="L8" s="66">
        <f>I11</f>
        <v>66</v>
      </c>
      <c r="M8" s="60" t="s">
        <v>136</v>
      </c>
      <c r="N8" s="67" t="s">
        <v>137</v>
      </c>
    </row>
    <row r="9">
      <c r="A9" s="35"/>
      <c r="B9" s="51" t="s">
        <v>138</v>
      </c>
      <c r="C9" s="52">
        <v>12.0</v>
      </c>
      <c r="D9" s="35"/>
      <c r="E9" s="51"/>
      <c r="F9" s="67"/>
      <c r="G9" s="35"/>
      <c r="H9" s="51"/>
      <c r="I9" s="67"/>
      <c r="J9" s="35"/>
      <c r="K9" s="65" t="s">
        <v>139</v>
      </c>
      <c r="L9" s="66">
        <f>C21</f>
        <v>60</v>
      </c>
      <c r="M9" s="60" t="s">
        <v>140</v>
      </c>
      <c r="N9" s="67" t="s">
        <v>141</v>
      </c>
    </row>
    <row r="10">
      <c r="A10" s="35"/>
      <c r="B10" s="51"/>
      <c r="C10" s="67"/>
      <c r="D10" s="35"/>
      <c r="E10" s="51"/>
      <c r="F10" s="67"/>
      <c r="G10" s="35"/>
      <c r="H10" s="51"/>
      <c r="I10" s="67"/>
      <c r="J10" s="35"/>
      <c r="K10" s="65" t="s">
        <v>142</v>
      </c>
      <c r="L10" s="66">
        <f>F21</f>
        <v>60</v>
      </c>
      <c r="M10" s="60" t="s">
        <v>143</v>
      </c>
      <c r="N10" s="67" t="s">
        <v>144</v>
      </c>
    </row>
    <row r="11">
      <c r="A11" s="35"/>
      <c r="B11" s="53" t="s">
        <v>145</v>
      </c>
      <c r="C11" s="54">
        <f>SUM(C6:C9)</f>
        <v>60</v>
      </c>
      <c r="D11" s="35"/>
      <c r="E11" s="53" t="s">
        <v>145</v>
      </c>
      <c r="F11" s="54">
        <f>SUM(F6:F10)</f>
        <v>66</v>
      </c>
      <c r="G11" s="35"/>
      <c r="H11" s="53" t="s">
        <v>145</v>
      </c>
      <c r="I11" s="54">
        <f>SUM(I6:I10)</f>
        <v>66</v>
      </c>
      <c r="J11" s="35"/>
      <c r="K11" s="65" t="s">
        <v>146</v>
      </c>
      <c r="L11" s="66">
        <f>I21</f>
        <v>62</v>
      </c>
      <c r="M11" s="60" t="s">
        <v>147</v>
      </c>
      <c r="N11" s="67" t="s">
        <v>148</v>
      </c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65" t="s">
        <v>149</v>
      </c>
      <c r="L12" s="66">
        <f>C31</f>
        <v>54</v>
      </c>
      <c r="M12" s="60" t="s">
        <v>150</v>
      </c>
      <c r="N12" s="67" t="s">
        <v>151</v>
      </c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65" t="s">
        <v>152</v>
      </c>
      <c r="L13" s="66">
        <f>F31</f>
        <v>64</v>
      </c>
      <c r="M13" s="60" t="s">
        <v>153</v>
      </c>
      <c r="N13" s="67" t="s">
        <v>154</v>
      </c>
    </row>
    <row r="14">
      <c r="A14" s="35"/>
      <c r="B14" s="63" t="s">
        <v>155</v>
      </c>
      <c r="C14" s="35"/>
      <c r="D14" s="35"/>
      <c r="E14" s="63" t="s">
        <v>156</v>
      </c>
      <c r="F14" s="35"/>
      <c r="G14" s="35"/>
      <c r="H14" s="63" t="s">
        <v>157</v>
      </c>
      <c r="I14" s="35"/>
      <c r="J14" s="35"/>
      <c r="K14" s="65" t="s">
        <v>158</v>
      </c>
      <c r="L14" s="66">
        <f>I31</f>
        <v>66</v>
      </c>
      <c r="M14" s="60" t="s">
        <v>159</v>
      </c>
      <c r="N14" s="67" t="s">
        <v>160</v>
      </c>
    </row>
    <row r="15">
      <c r="A15" s="35"/>
      <c r="B15" s="49" t="s">
        <v>119</v>
      </c>
      <c r="C15" s="64" t="s">
        <v>120</v>
      </c>
      <c r="D15" s="35"/>
      <c r="E15" s="49" t="s">
        <v>119</v>
      </c>
      <c r="F15" s="64" t="s">
        <v>120</v>
      </c>
      <c r="G15" s="35"/>
      <c r="H15" s="49" t="s">
        <v>119</v>
      </c>
      <c r="I15" s="64" t="s">
        <v>120</v>
      </c>
      <c r="J15" s="35"/>
      <c r="K15" s="65" t="s">
        <v>161</v>
      </c>
      <c r="L15" s="66">
        <f>C40</f>
        <v>60</v>
      </c>
      <c r="M15" s="60" t="s">
        <v>162</v>
      </c>
      <c r="N15" s="67" t="s">
        <v>163</v>
      </c>
    </row>
    <row r="16">
      <c r="A16" s="35"/>
      <c r="B16" s="51" t="s">
        <v>164</v>
      </c>
      <c r="C16" s="52">
        <v>30.0</v>
      </c>
      <c r="D16" s="35"/>
      <c r="E16" s="51" t="s">
        <v>165</v>
      </c>
      <c r="F16" s="52">
        <v>30.0</v>
      </c>
      <c r="G16" s="35"/>
      <c r="H16" s="51" t="s">
        <v>166</v>
      </c>
      <c r="I16" s="52">
        <v>30.0</v>
      </c>
      <c r="J16" s="35"/>
      <c r="K16" s="65" t="s">
        <v>167</v>
      </c>
      <c r="L16" s="66">
        <f>F40</f>
        <v>54</v>
      </c>
      <c r="M16" s="60" t="s">
        <v>168</v>
      </c>
      <c r="N16" s="67" t="s">
        <v>169</v>
      </c>
    </row>
    <row r="17">
      <c r="A17" s="35"/>
      <c r="B17" s="51" t="s">
        <v>170</v>
      </c>
      <c r="C17" s="52">
        <v>30.0</v>
      </c>
      <c r="D17" s="35"/>
      <c r="E17" s="51" t="s">
        <v>171</v>
      </c>
      <c r="F17" s="52">
        <v>18.0</v>
      </c>
      <c r="G17" s="35"/>
      <c r="H17" s="51" t="s">
        <v>94</v>
      </c>
      <c r="I17" s="52">
        <v>16.0</v>
      </c>
      <c r="J17" s="35"/>
      <c r="K17" s="65" t="s">
        <v>172</v>
      </c>
      <c r="L17" s="66">
        <f>I31</f>
        <v>66</v>
      </c>
      <c r="M17" s="60" t="s">
        <v>173</v>
      </c>
      <c r="N17" s="67" t="s">
        <v>174</v>
      </c>
    </row>
    <row r="18">
      <c r="A18" s="35"/>
      <c r="B18" s="51"/>
      <c r="C18" s="67"/>
      <c r="D18" s="35"/>
      <c r="E18" s="51" t="s">
        <v>175</v>
      </c>
      <c r="F18" s="52">
        <v>12.0</v>
      </c>
      <c r="G18" s="35"/>
      <c r="H18" s="51" t="s">
        <v>96</v>
      </c>
      <c r="I18" s="52">
        <v>16.0</v>
      </c>
      <c r="J18" s="35"/>
      <c r="K18" s="68" t="s">
        <v>176</v>
      </c>
      <c r="L18" s="69">
        <f>C49</f>
        <v>24</v>
      </c>
      <c r="M18" s="61" t="s">
        <v>177</v>
      </c>
      <c r="N18" s="70" t="s">
        <v>178</v>
      </c>
    </row>
    <row r="19">
      <c r="A19" s="35"/>
      <c r="B19" s="51"/>
      <c r="C19" s="67"/>
      <c r="D19" s="35"/>
      <c r="E19" s="51"/>
      <c r="F19" s="67"/>
      <c r="G19" s="35"/>
      <c r="H19" s="51"/>
      <c r="I19" s="67"/>
      <c r="J19" s="35"/>
      <c r="K19" s="35"/>
      <c r="L19" s="35"/>
      <c r="M19" s="35"/>
      <c r="N19" s="35"/>
    </row>
    <row r="20">
      <c r="A20" s="35"/>
      <c r="B20" s="51"/>
      <c r="C20" s="67"/>
      <c r="D20" s="35"/>
      <c r="E20" s="51"/>
      <c r="F20" s="67"/>
      <c r="G20" s="35"/>
      <c r="H20" s="51"/>
      <c r="I20" s="67"/>
      <c r="J20" s="35"/>
      <c r="K20" s="35"/>
      <c r="L20" s="35"/>
      <c r="M20" s="35"/>
      <c r="N20" s="35"/>
    </row>
    <row r="21">
      <c r="A21" s="35"/>
      <c r="B21" s="53" t="s">
        <v>145</v>
      </c>
      <c r="C21" s="54">
        <f>SUM(C16:C19)</f>
        <v>60</v>
      </c>
      <c r="D21" s="35"/>
      <c r="E21" s="53" t="s">
        <v>145</v>
      </c>
      <c r="F21" s="54">
        <f>SUM(F16:F20)</f>
        <v>60</v>
      </c>
      <c r="G21" s="35"/>
      <c r="H21" s="53" t="s">
        <v>145</v>
      </c>
      <c r="I21" s="54">
        <f>SUM(I16:I19)</f>
        <v>62</v>
      </c>
      <c r="J21" s="35"/>
      <c r="K21" s="35"/>
      <c r="L21" s="35"/>
      <c r="M21" s="35"/>
      <c r="N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>
      <c r="A24" s="35"/>
      <c r="B24" s="63" t="s">
        <v>179</v>
      </c>
      <c r="C24" s="35"/>
      <c r="D24" s="35"/>
      <c r="E24" s="63" t="s">
        <v>180</v>
      </c>
      <c r="F24" s="35"/>
      <c r="G24" s="35"/>
      <c r="H24" s="63" t="s">
        <v>181</v>
      </c>
      <c r="I24" s="35"/>
      <c r="J24" s="35"/>
      <c r="K24" s="35"/>
      <c r="L24" s="35"/>
      <c r="M24" s="35"/>
      <c r="N24" s="35"/>
    </row>
    <row r="25">
      <c r="A25" s="35"/>
      <c r="B25" s="49" t="s">
        <v>119</v>
      </c>
      <c r="C25" s="64" t="s">
        <v>120</v>
      </c>
      <c r="D25" s="35"/>
      <c r="E25" s="49" t="s">
        <v>119</v>
      </c>
      <c r="F25" s="64" t="s">
        <v>120</v>
      </c>
      <c r="G25" s="35"/>
      <c r="H25" s="49" t="s">
        <v>119</v>
      </c>
      <c r="I25" s="64" t="s">
        <v>120</v>
      </c>
      <c r="J25" s="35"/>
      <c r="K25" s="35"/>
      <c r="L25" s="35"/>
      <c r="M25" s="35"/>
      <c r="N25" s="35"/>
    </row>
    <row r="26">
      <c r="A26" s="35"/>
      <c r="B26" s="51" t="s">
        <v>98</v>
      </c>
      <c r="C26" s="52">
        <v>16.0</v>
      </c>
      <c r="D26" s="35"/>
      <c r="E26" s="51" t="s">
        <v>182</v>
      </c>
      <c r="F26" s="52">
        <v>16.0</v>
      </c>
      <c r="G26" s="35"/>
      <c r="H26" s="51" t="s">
        <v>183</v>
      </c>
      <c r="I26" s="52">
        <v>48.0</v>
      </c>
      <c r="J26" s="35"/>
      <c r="K26" s="35"/>
      <c r="L26" s="35"/>
      <c r="M26" s="35"/>
      <c r="N26" s="35"/>
    </row>
    <row r="27">
      <c r="A27" s="35"/>
      <c r="B27" s="51" t="s">
        <v>184</v>
      </c>
      <c r="C27" s="52">
        <v>16.0</v>
      </c>
      <c r="D27" s="35"/>
      <c r="E27" s="51" t="s">
        <v>185</v>
      </c>
      <c r="F27" s="52">
        <v>30.0</v>
      </c>
      <c r="G27" s="35"/>
      <c r="H27" s="51" t="s">
        <v>186</v>
      </c>
      <c r="I27" s="52">
        <v>18.0</v>
      </c>
      <c r="J27" s="35"/>
      <c r="K27" s="35"/>
      <c r="L27" s="35"/>
      <c r="M27" s="35"/>
      <c r="N27" s="35"/>
    </row>
    <row r="28">
      <c r="A28" s="35"/>
      <c r="B28" s="51" t="s">
        <v>187</v>
      </c>
      <c r="C28" s="52">
        <v>16.0</v>
      </c>
      <c r="D28" s="35"/>
      <c r="E28" s="51" t="s">
        <v>188</v>
      </c>
      <c r="F28" s="52">
        <v>18.0</v>
      </c>
      <c r="G28" s="35"/>
      <c r="H28" s="51"/>
      <c r="I28" s="67"/>
      <c r="J28" s="35"/>
      <c r="K28" s="35"/>
      <c r="L28" s="35"/>
      <c r="M28" s="35"/>
      <c r="N28" s="35"/>
    </row>
    <row r="29">
      <c r="A29" s="35"/>
      <c r="B29" s="51" t="s">
        <v>189</v>
      </c>
      <c r="C29" s="52">
        <v>6.0</v>
      </c>
      <c r="D29" s="35"/>
      <c r="E29" s="51"/>
      <c r="F29" s="67"/>
      <c r="G29" s="35"/>
      <c r="H29" s="51"/>
      <c r="I29" s="67"/>
      <c r="J29" s="35"/>
      <c r="K29" s="35"/>
      <c r="L29" s="35"/>
      <c r="M29" s="35"/>
      <c r="N29" s="35"/>
    </row>
    <row r="30">
      <c r="A30" s="35"/>
      <c r="B30" s="51"/>
      <c r="C30" s="67"/>
      <c r="D30" s="35"/>
      <c r="E30" s="51"/>
      <c r="F30" s="67"/>
      <c r="G30" s="35"/>
      <c r="H30" s="51"/>
      <c r="I30" s="67"/>
      <c r="J30" s="35"/>
      <c r="K30" s="35"/>
      <c r="L30" s="35"/>
      <c r="M30" s="35"/>
      <c r="N30" s="35"/>
    </row>
    <row r="31">
      <c r="A31" s="35"/>
      <c r="B31" s="53" t="s">
        <v>145</v>
      </c>
      <c r="C31" s="54">
        <f>SUM(C26:C29)</f>
        <v>54</v>
      </c>
      <c r="D31" s="35"/>
      <c r="E31" s="53" t="s">
        <v>145</v>
      </c>
      <c r="F31" s="54">
        <f>SUM(F26:F29)</f>
        <v>64</v>
      </c>
      <c r="G31" s="35"/>
      <c r="H31" s="53" t="s">
        <v>145</v>
      </c>
      <c r="I31" s="54">
        <f>SUM(I26:I29)</f>
        <v>66</v>
      </c>
      <c r="J31" s="35"/>
      <c r="K31" s="35"/>
      <c r="L31" s="35"/>
      <c r="M31" s="35"/>
      <c r="N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>
      <c r="A33" s="35"/>
      <c r="B33" s="63" t="s">
        <v>190</v>
      </c>
      <c r="C33" s="35"/>
      <c r="D33" s="35"/>
      <c r="E33" s="63" t="s">
        <v>191</v>
      </c>
      <c r="F33" s="35"/>
      <c r="G33" s="35"/>
      <c r="H33" s="63" t="s">
        <v>192</v>
      </c>
      <c r="I33" s="35"/>
      <c r="J33" s="35"/>
      <c r="K33" s="35"/>
      <c r="L33" s="35"/>
      <c r="M33" s="35"/>
      <c r="N33" s="35"/>
    </row>
    <row r="34">
      <c r="A34" s="35"/>
      <c r="B34" s="49" t="s">
        <v>119</v>
      </c>
      <c r="C34" s="64" t="s">
        <v>120</v>
      </c>
      <c r="D34" s="35"/>
      <c r="E34" s="49" t="s">
        <v>119</v>
      </c>
      <c r="F34" s="64" t="s">
        <v>120</v>
      </c>
      <c r="G34" s="35"/>
      <c r="H34" s="49" t="s">
        <v>119</v>
      </c>
      <c r="I34" s="64" t="s">
        <v>120</v>
      </c>
      <c r="J34" s="35"/>
      <c r="K34" s="35"/>
      <c r="L34" s="35"/>
      <c r="M34" s="35"/>
      <c r="N34" s="35"/>
    </row>
    <row r="35">
      <c r="A35" s="35"/>
      <c r="B35" s="51" t="s">
        <v>193</v>
      </c>
      <c r="C35" s="52">
        <v>30.0</v>
      </c>
      <c r="D35" s="35"/>
      <c r="E35" s="51" t="s">
        <v>101</v>
      </c>
      <c r="F35" s="52">
        <v>24.0</v>
      </c>
      <c r="G35" s="35"/>
      <c r="H35" s="51" t="s">
        <v>103</v>
      </c>
      <c r="I35" s="52">
        <v>24.0</v>
      </c>
      <c r="J35" s="35"/>
      <c r="K35" s="35"/>
      <c r="L35" s="35"/>
      <c r="M35" s="35"/>
      <c r="N35" s="35"/>
    </row>
    <row r="36">
      <c r="A36" s="35"/>
      <c r="B36" s="51" t="s">
        <v>194</v>
      </c>
      <c r="C36" s="52">
        <v>30.0</v>
      </c>
      <c r="D36" s="35"/>
      <c r="E36" s="51" t="s">
        <v>195</v>
      </c>
      <c r="F36" s="52">
        <v>30.0</v>
      </c>
      <c r="G36" s="35"/>
      <c r="H36" s="51" t="s">
        <v>108</v>
      </c>
      <c r="I36" s="52">
        <v>24.0</v>
      </c>
      <c r="J36" s="35"/>
      <c r="K36" s="35"/>
      <c r="L36" s="35"/>
      <c r="M36" s="35"/>
      <c r="N36" s="35"/>
    </row>
    <row r="37">
      <c r="A37" s="35"/>
      <c r="B37" s="51"/>
      <c r="C37" s="67"/>
      <c r="D37" s="35"/>
      <c r="E37" s="51"/>
      <c r="F37" s="67"/>
      <c r="G37" s="35"/>
      <c r="H37" s="51"/>
      <c r="I37" s="67"/>
      <c r="J37" s="35"/>
      <c r="K37" s="35"/>
      <c r="L37" s="35"/>
      <c r="M37" s="35"/>
      <c r="N37" s="35"/>
    </row>
    <row r="38">
      <c r="A38" s="35"/>
      <c r="B38" s="51"/>
      <c r="C38" s="67"/>
      <c r="D38" s="35"/>
      <c r="E38" s="51"/>
      <c r="F38" s="67"/>
      <c r="G38" s="35"/>
      <c r="H38" s="51"/>
      <c r="I38" s="67"/>
      <c r="J38" s="35"/>
      <c r="K38" s="35"/>
      <c r="L38" s="35"/>
      <c r="M38" s="35"/>
      <c r="N38" s="35"/>
    </row>
    <row r="39">
      <c r="A39" s="35"/>
      <c r="B39" s="51"/>
      <c r="C39" s="67"/>
      <c r="D39" s="35"/>
      <c r="E39" s="51"/>
      <c r="F39" s="67"/>
      <c r="G39" s="35"/>
      <c r="H39" s="51"/>
      <c r="I39" s="67"/>
      <c r="J39" s="35"/>
      <c r="K39" s="35"/>
      <c r="L39" s="35"/>
      <c r="M39" s="35"/>
      <c r="N39" s="35"/>
    </row>
    <row r="40">
      <c r="A40" s="35"/>
      <c r="B40" s="53" t="s">
        <v>145</v>
      </c>
      <c r="C40" s="54">
        <f>SUM(C35:C38)</f>
        <v>60</v>
      </c>
      <c r="D40" s="35"/>
      <c r="E40" s="53" t="s">
        <v>145</v>
      </c>
      <c r="F40" s="54">
        <f>SUM(F35:F38)</f>
        <v>54</v>
      </c>
      <c r="G40" s="35"/>
      <c r="H40" s="53" t="s">
        <v>145</v>
      </c>
      <c r="I40" s="54">
        <f>SUM(I35:I38)</f>
        <v>48</v>
      </c>
      <c r="J40" s="35"/>
      <c r="K40" s="35"/>
      <c r="L40" s="35"/>
      <c r="M40" s="35"/>
      <c r="N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</row>
    <row r="42">
      <c r="A42" s="35"/>
      <c r="B42" s="63" t="s">
        <v>196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</row>
    <row r="43">
      <c r="A43" s="35"/>
      <c r="B43" s="49" t="s">
        <v>119</v>
      </c>
      <c r="C43" s="64" t="s">
        <v>120</v>
      </c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</row>
    <row r="44">
      <c r="A44" s="35"/>
      <c r="B44" s="51" t="s">
        <v>110</v>
      </c>
      <c r="C44" s="52">
        <v>24.0</v>
      </c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</row>
    <row r="45">
      <c r="A45" s="35"/>
      <c r="B45" s="51"/>
      <c r="C45" s="67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</row>
    <row r="46">
      <c r="A46" s="35"/>
      <c r="B46" s="51"/>
      <c r="C46" s="67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</row>
    <row r="47">
      <c r="A47" s="35"/>
      <c r="B47" s="51"/>
      <c r="C47" s="67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</row>
    <row r="48">
      <c r="A48" s="35"/>
      <c r="B48" s="51"/>
      <c r="C48" s="67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</row>
    <row r="49">
      <c r="A49" s="35"/>
      <c r="B49" s="53" t="s">
        <v>145</v>
      </c>
      <c r="C49" s="54">
        <f>SUM(C44:C47)</f>
        <v>24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</row>
  </sheetData>
  <mergeCells count="2">
    <mergeCell ref="D2:E2"/>
    <mergeCell ref="H2:I2"/>
  </mergeCells>
  <drawing r:id="rId1"/>
</worksheet>
</file>